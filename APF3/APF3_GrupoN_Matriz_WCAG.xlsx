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yenda" sheetId="1" state="visible" r:id="rId3"/>
    <sheet name="Matriz WCAG 2.1" sheetId="2" state="visible" r:id="rId4"/>
    <sheet name="Resumen POUR" sheetId="3" state="visible" r:id="rId5"/>
    <sheet name="Hallazgos" sheetId="4" state="visible" r:id="rId6"/>
    <sheet name="Trazabilidad" sheetId="5" state="visible" r:id="rId7"/>
    <sheet name="WCAG 2.2 (B3)" sheetId="6" state="visible" r:id="rId8"/>
    <sheet name="Línea base APF2 (EJEMPLO)" sheetId="7" state="visible" r:id="rId9"/>
    <sheet name="Validación (EJEMPLO)" sheetId="8" state="visible" r:id="rId10"/>
    <sheet name="Barreras residuales (EJEMPLO)" sheetId="9" state="visible" r:id="rId11"/>
  </sheets>
  <definedNames>
    <definedName function="false" hidden="true" localSheetId="1" name="_xlnm._FilterDatabase" vbProcedure="false">'Matriz WCAG 2.1'!$A$4:$S$54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<sst xmlns="http://schemas.openxmlformats.org/spreadsheetml/2006/main" count="1314" uniqueCount="592">
  <si>
    <t xml:space="preserve">APF3 · Matriz de auditoría WCAG 2.1 AA · Colegio Benjamin Barton (prototipo v2.0 → v3.0)</t>
  </si>
  <si>
    <t xml:space="preserve">Curso</t>
  </si>
  <si>
    <t xml:space="preserve">Interacción Hombre Máquina (100000SI87) · Ingeniería de Sistemas · UTP</t>
  </si>
  <si>
    <t xml:space="preserve">Grupo</t>
  </si>
  <si>
    <t xml:space="preserve">[Grupo N] — completar</t>
  </si>
  <si>
    <t xml:space="preserve">Fecha de auditoría</t>
  </si>
  <si>
    <t xml:space="preserve">30 de octubre de 2026</t>
  </si>
  <si>
    <t xml:space="preserve">Alcance</t>
  </si>
  <si>
    <t xml:space="preserve">PT1 Inicio (carga, carrusel en reproducción y en pausa); PT2 Admisión (información y llamado a solicitar vacante); PT3 Solicitud de vacante (vacío, error, revisión, confirmación y anulación); PT4 Horarios (pestañas por nivel); PT5 Lista de útiles (pestañas por nivel y descarga); PT6 Contáctenos (vacío, error y envío correcto); PT7 Nivel Primaria (contenido con galería)</t>
  </si>
  <si>
    <t xml:space="preserve">Nivel objetivo</t>
  </si>
  <si>
    <t xml:space="preserve">WCAG 2.1 nivel AA: 50 criterios (30 A + 20 AA); 26 criterios núcleo evaluados con evidencia.</t>
  </si>
  <si>
    <t xml:space="preserve">Métodos</t>
  </si>
  <si>
    <t xml:space="preserve">Automático: axe-core 4.10.2 (etiquetas wcag2a, wcag2aa, wcag21a, wcag21aa) en 19 páginas. Manual: criterio por criterio, contraste con la fórmula WCAG, zoom 200 %, viewport 320 px, espaciado de texto, simulación de deuteranopía (Machado et al., 2009). Tecnologías de apoyo: recorrido con teclado y registro del árbol de accesibilidad; sesión con NVDA pendiente/ver hoja Validación.</t>
  </si>
  <si>
    <t xml:space="preserve">Severidad (S)</t>
  </si>
  <si>
    <t xml:space="preserve">4 = bloquea la tarea a un perfil · 3 = rodeo costoso o pide ayuda · 2 = dificultad menor · 1 = cosmético</t>
  </si>
  <si>
    <t xml:space="preserve">Alcance (A)</t>
  </si>
  <si>
    <t xml:space="preserve">3 = flujo crítico o patrón global · 2 = varias pantallas · 1 = elemento aislado</t>
  </si>
  <si>
    <t xml:space="preserve">Prioridad</t>
  </si>
  <si>
    <t xml:space="preserve">S × A (fórmula). Alta ≥ 8 · Media 4–7 · Baja ≤ 3</t>
  </si>
  <si>
    <t xml:space="preserve">Celdas amarillas</t>
  </si>
  <si>
    <t xml:space="preserve">DATOS DE EJEMPLO (validación con participantes y línea base APF2). Reemplazar con los datos reales de las sesiones del grupo antes de entregar. Las fórmulas se recalculan solas.</t>
  </si>
  <si>
    <t xml:space="preserve">Celdas blancas</t>
  </si>
  <si>
    <t xml:space="preserve">Resultados medidos en la v2.0 (barton.engie24.com) y en la v3.0 (sitio estático del grupo).</t>
  </si>
  <si>
    <t xml:space="preserve">Matriz de auditoría WCAG 2.1 AA (Anexo A de la consigna) — una fila por criterio</t>
  </si>
  <si>
    <t xml:space="preserve">Prioridad y categoría se calculan con fórmula a partir de S y A. Criterios no núcleo: basta Aplica/No aplica con justificación.</t>
  </si>
  <si>
    <t xml:space="preserve">Hallazgo</t>
  </si>
  <si>
    <t xml:space="preserve">Principio</t>
  </si>
  <si>
    <t xml:space="preserve">Criterio</t>
  </si>
  <si>
    <t xml:space="preserve">Nombre</t>
  </si>
  <si>
    <t xml:space="preserve">Nivel</t>
  </si>
  <si>
    <t xml:space="preserve">Núcleo</t>
  </si>
  <si>
    <t xml:space="preserve">Aplica</t>
  </si>
  <si>
    <t xml:space="preserve">Método</t>
  </si>
  <si>
    <t xml:space="preserve">Pantalla y estado / justificación</t>
  </si>
  <si>
    <t xml:space="preserve">Resultado v2.0</t>
  </si>
  <si>
    <t xml:space="preserve">Evidencia v2.0</t>
  </si>
  <si>
    <t xml:space="preserve">Severidad (1-4)</t>
  </si>
  <si>
    <t xml:space="preserve">Alcance (1-3)</t>
  </si>
  <si>
    <t xml:space="preserve">Prioridad (S×A)</t>
  </si>
  <si>
    <t xml:space="preserve">Categoría</t>
  </si>
  <si>
    <t xml:space="preserve">Perfiles afectados</t>
  </si>
  <si>
    <t xml:space="preserve">Ajuste</t>
  </si>
  <si>
    <t xml:space="preserve">Estado en v3.0</t>
  </si>
  <si>
    <t xml:space="preserve">Evidencia v3.0</t>
  </si>
  <si>
    <t xml:space="preserve">H-03</t>
  </si>
  <si>
    <t xml:space="preserve">Perceptible</t>
  </si>
  <si>
    <t xml:space="preserve">1.1.1</t>
  </si>
  <si>
    <t xml:space="preserve">Contenido no textual</t>
  </si>
  <si>
    <t xml:space="preserve">A</t>
  </si>
  <si>
    <t xml:space="preserve">Sí</t>
  </si>
  <si>
    <t xml:space="preserve">axe + manual</t>
  </si>
  <si>
    <t xml:space="preserve">PT1, PT7</t>
  </si>
  <si>
    <t xml:space="preserve">No cumple</t>
  </si>
  <si>
    <t xml:space="preserve">Inicio: 81 de 169 imágenes con alt vacío, incluidas fotos informativas; Municipio: 180 de 268.</t>
  </si>
  <si>
    <t xml:space="preserve">Ceguera, baja visión (lector de pantalla)</t>
  </si>
  <si>
    <t xml:space="preserve">AJ-03</t>
  </si>
  <si>
    <t xml:space="preserve">Cumple</t>
  </si>
  <si>
    <t xml:space="preserve">Fotos informativas con alt descriptivo; decorativas con alt="". axe: 0 incumplimientos.</t>
  </si>
  <si>
    <t xml:space="preserve">—</t>
  </si>
  <si>
    <t xml:space="preserve">1.2.1</t>
  </si>
  <si>
    <t xml:space="preserve">Solo audio y solo video (grabado)</t>
  </si>
  <si>
    <t xml:space="preserve">No</t>
  </si>
  <si>
    <t xml:space="preserve">Manual</t>
  </si>
  <si>
    <t xml:space="preserve">No hay contenido solo audio ni solo video.</t>
  </si>
  <si>
    <t xml:space="preserve">No aplica</t>
  </si>
  <si>
    <t xml:space="preserve">H-15</t>
  </si>
  <si>
    <t xml:space="preserve">1.2.2</t>
  </si>
  <si>
    <t xml:space="preserve">Subtítulos (grabado)</t>
  </si>
  <si>
    <t xml:space="preserve">PT1 (video institucional)</t>
  </si>
  <si>
    <t xml:space="preserve">Parcial</t>
  </si>
  <si>
    <t xml:space="preserve">Video de YouTube sin subtítulos activados; solo los automáticos de la plataforma.</t>
  </si>
  <si>
    <t xml:space="preserve">Sordera, hipoacusia</t>
  </si>
  <si>
    <t xml:space="preserve">AJ-05</t>
  </si>
  <si>
    <t xml:space="preserve">Subtítulos activados por defecto (cc_load_policy=1), pero son automáticos y no se han revisado.</t>
  </si>
  <si>
    <t xml:space="preserve">1.2.3</t>
  </si>
  <si>
    <t xml:space="preserve">Audiodescripción o medio alternativo (grabado)</t>
  </si>
  <si>
    <t xml:space="preserve">No hay transcripción ni descripción del contenido visual.</t>
  </si>
  <si>
    <t xml:space="preserve">Ceguera</t>
  </si>
  <si>
    <t xml:space="preserve">Pendiente: transcripción descriptiva a cargo del colegio (plan de mejora).</t>
  </si>
  <si>
    <t xml:space="preserve">1.2.4</t>
  </si>
  <si>
    <t xml:space="preserve">Subtítulos (en directo)</t>
  </si>
  <si>
    <t xml:space="preserve">AA</t>
  </si>
  <si>
    <t xml:space="preserve">No hay transmisiones en directo.</t>
  </si>
  <si>
    <t xml:space="preserve">1.2.5</t>
  </si>
  <si>
    <t xml:space="preserve">Audiodescripción (grabado)</t>
  </si>
  <si>
    <t xml:space="preserve">Sin audiodescripción.</t>
  </si>
  <si>
    <t xml:space="preserve">Pendiente: versión audiodescrita o transcripción (plan de mejora).</t>
  </si>
  <si>
    <t xml:space="preserve">H-04</t>
  </si>
  <si>
    <t xml:space="preserve">1.3.1</t>
  </si>
  <si>
    <t xml:space="preserve">Información y relaciones</t>
  </si>
  <si>
    <t xml:space="preserve">axe + manual + lector</t>
  </si>
  <si>
    <t xml:space="preserve">Todas</t>
  </si>
  <si>
    <t xml:space="preserve">La mayoría de páginas sin h1 (todo h3); Horarios y Útiles con 14 a 17 h1; aria prohibido en 15 elementos.</t>
  </si>
  <si>
    <t xml:space="preserve">Ceguera (navegación por encabezados), dislexia</t>
  </si>
  <si>
    <t xml:space="preserve">Un h1 por página y 0 saltos de nivel en 10 páginas; fieldset/legend en grupos; tablas con th y scope.</t>
  </si>
  <si>
    <t xml:space="preserve">1.3.2</t>
  </si>
  <si>
    <t xml:space="preserve">Secuencia significativa</t>
  </si>
  <si>
    <t xml:space="preserve">Manual + lector</t>
  </si>
  <si>
    <t xml:space="preserve">Sin barrera observada</t>
  </si>
  <si>
    <t xml:space="preserve">El orden del DOM coincide con el orden visual.</t>
  </si>
  <si>
    <t xml:space="preserve">1.3.3</t>
  </si>
  <si>
    <t xml:space="preserve">Características sensoriales</t>
  </si>
  <si>
    <t xml:space="preserve">PT3, PT6</t>
  </si>
  <si>
    <t xml:space="preserve">Las instrucciones no dependen de forma, posición ni color.</t>
  </si>
  <si>
    <t xml:space="preserve">1.3.4</t>
  </si>
  <si>
    <t xml:space="preserve">Orientación</t>
  </si>
  <si>
    <t xml:space="preserve">Manual (320 px vertical y horizontal)</t>
  </si>
  <si>
    <t xml:space="preserve">El sitio no bloquea la orientación.</t>
  </si>
  <si>
    <t xml:space="preserve">Sin bloqueo de orientación; diseño fluido verificado a 320 px y 683 px.</t>
  </si>
  <si>
    <t xml:space="preserve">H-12</t>
  </si>
  <si>
    <t xml:space="preserve">1.3.5</t>
  </si>
  <si>
    <t xml:space="preserve">Identificar el propósito de la entrada</t>
  </si>
  <si>
    <t xml:space="preserve">Inspección de código</t>
  </si>
  <si>
    <t xml:space="preserve">Formulario de contacto sin autocomplete; celular como type=text.</t>
  </si>
  <si>
    <t xml:space="preserve">Motora, cognitiva, baja visión</t>
  </si>
  <si>
    <t xml:space="preserve">AJ-10</t>
  </si>
  <si>
    <t xml:space="preserve">autocomplete name, email y tel; celular con type=tel e inputmode numérico.</t>
  </si>
  <si>
    <t xml:space="preserve">1.4.1</t>
  </si>
  <si>
    <t xml:space="preserve">Uso del color</t>
  </si>
  <si>
    <t xml:space="preserve">Simulación deuteranopia (Machado 2009) + manual</t>
  </si>
  <si>
    <t xml:space="preserve">PT1, PT3, PT6</t>
  </si>
  <si>
    <t xml:space="preserve">Los errores eran avisos nativos; no se usaba color como único indicador.</t>
  </si>
  <si>
    <t xml:space="preserve">Daltonismo</t>
  </si>
  <si>
    <t xml:space="preserve">Errores con el prefijo «Error:» y borde grueso; pasos con número y texto; enlaces subrayados.</t>
  </si>
  <si>
    <t xml:space="preserve">1.4.2</t>
  </si>
  <si>
    <t xml:space="preserve">Control del audio</t>
  </si>
  <si>
    <t xml:space="preserve">PT1</t>
  </si>
  <si>
    <t xml:space="preserve">El video no se reproduce solo (fachada con botón).</t>
  </si>
  <si>
    <t xml:space="preserve">H-01</t>
  </si>
  <si>
    <t xml:space="preserve">1.4.3</t>
  </si>
  <si>
    <t xml:space="preserve">Contraste (mínimo)</t>
  </si>
  <si>
    <t xml:space="preserve">axe + cálculo WCAG</t>
  </si>
  <si>
    <t xml:space="preserve">PT1 y pie global</t>
  </si>
  <si>
    <t xml:space="preserve">Tarjetas de accesos rápidos: #e5e7eb sobre degradado #d3b4c4–#c4a1b5 = 1.53 a 1.86:1; pie #9e9e9e sobre #424242 = 3.75:1.</t>
  </si>
  <si>
    <t xml:space="preserve">Baja visión, adultos mayores, daltonismo</t>
  </si>
  <si>
    <t xml:space="preserve">AJ-01</t>
  </si>
  <si>
    <t xml:space="preserve">Texto principal 12.63:1, secundario 6.26:1, enlaces 5.36:1; velo de la portada calculado para el peor caso (foto blanca): ≥ 4.5:1 en texto pequeño y ≥ 3:1 en el título.</t>
  </si>
  <si>
    <t xml:space="preserve">H-13</t>
  </si>
  <si>
    <t xml:space="preserve">1.4.4</t>
  </si>
  <si>
    <t xml:space="preserve">Cambio de tamaño del texto</t>
  </si>
  <si>
    <t xml:space="preserve">Zoom 200 %</t>
  </si>
  <si>
    <t xml:space="preserve">En pantallas estrechas se ocultaba el texto de la portada.</t>
  </si>
  <si>
    <t xml:space="preserve">Baja visión, adultos mayores</t>
  </si>
  <si>
    <t xml:space="preserve">AJ-04</t>
  </si>
  <si>
    <t xml:space="preserve">A 200 % no hay pérdida de contenido ni desborde (0 px) en las 10 páginas medidas.</t>
  </si>
  <si>
    <t xml:space="preserve">1.4.5</t>
  </si>
  <si>
    <t xml:space="preserve">Imágenes de texto</t>
  </si>
  <si>
    <t xml:space="preserve">PT1 (mosaico de actividades)</t>
  </si>
  <si>
    <t xml:space="preserve">Algunas imágenes del sitio oficial son afiches con texto.</t>
  </si>
  <si>
    <t xml:space="preserve">Baja visión</t>
  </si>
  <si>
    <t xml:space="preserve">Los afiches heredados conservan texto en la imagen; su alt solo resume el título (plan de mejora).</t>
  </si>
  <si>
    <t xml:space="preserve">1.4.10</t>
  </si>
  <si>
    <t xml:space="preserve">Reflow</t>
  </si>
  <si>
    <t xml:space="preserve">Viewport 320 px</t>
  </si>
  <si>
    <t xml:space="preserve">A 320 px el correo del pie se cortaba y el texto de la portada desaparecía.</t>
  </si>
  <si>
    <t xml:space="preserve">Baja visión (lupa), móviles</t>
  </si>
  <si>
    <t xml:space="preserve">0 px de desplazamiento horizontal a 320 px en 10 páginas, también con espaciado de texto.</t>
  </si>
  <si>
    <t xml:space="preserve">H-05</t>
  </si>
  <si>
    <t xml:space="preserve">1.4.11</t>
  </si>
  <si>
    <t xml:space="preserve">Contraste no textual</t>
  </si>
  <si>
    <t xml:space="preserve">Cálculo WCAG</t>
  </si>
  <si>
    <t xml:space="preserve">Indicador de foco por defecto #4a3b44 sobre la portada oscura: 1.54:1.</t>
  </si>
  <si>
    <t xml:space="preserve">Baja visión, usuarios de teclado</t>
  </si>
  <si>
    <t xml:space="preserve">AJ-02</t>
  </si>
  <si>
    <t xml:space="preserve">Bordes de campos #8a7684 = 4.2:1; halo de foco #ffd84d sobre ciruela = 9.13:1.</t>
  </si>
  <si>
    <t xml:space="preserve">1.4.12</t>
  </si>
  <si>
    <t xml:space="preserve">Espaciado del texto</t>
  </si>
  <si>
    <t xml:space="preserve">Inyección de estilos WCAG</t>
  </si>
  <si>
    <t xml:space="preserve">3 elementos recortados al aplicar el espaciado.</t>
  </si>
  <si>
    <t xml:space="preserve">Dislexia, baja visión</t>
  </si>
  <si>
    <t xml:space="preserve">0 px de desborde con el espaciado aplicado; ningún texto recortado en los flujos.</t>
  </si>
  <si>
    <t xml:space="preserve">1.4.13</t>
  </si>
  <si>
    <t xml:space="preserve">Contenido con hover o foco</t>
  </si>
  <si>
    <t xml:space="preserve">Menú principal</t>
  </si>
  <si>
    <t xml:space="preserve">Los submenús se abren con teclado y aria-expanded.</t>
  </si>
  <si>
    <t xml:space="preserve">Baja visión, motora</t>
  </si>
  <si>
    <t xml:space="preserve">Submenú persistente (puente al pasar el puntero) y se cierra con Esc.</t>
  </si>
  <si>
    <t xml:space="preserve">H-09</t>
  </si>
  <si>
    <t xml:space="preserve">Operable</t>
  </si>
  <si>
    <t xml:space="preserve">2.1.1</t>
  </si>
  <si>
    <t xml:space="preserve">Teclado</t>
  </si>
  <si>
    <t xml:space="preserve">axe + recorrido con Tab</t>
  </si>
  <si>
    <t xml:space="preserve">PT7, PT1</t>
  </si>
  <si>
    <t xml:space="preserve">Región desplazable no enfocable (nivel-primaria); botones de galería sin foco.</t>
  </si>
  <si>
    <t xml:space="preserve">Motora, ceguera</t>
  </si>
  <si>
    <t xml:space="preserve">AJ-07</t>
  </si>
  <si>
    <t xml:space="preserve">La región desplazable se rehízo como contenido fluido; botones de galería con foco visible; todo se opera con Tab.</t>
  </si>
  <si>
    <t xml:space="preserve">2.1.2</t>
  </si>
  <si>
    <t xml:space="preserve">Sin trampas para el foco</t>
  </si>
  <si>
    <t xml:space="preserve">Recorrido con Tab</t>
  </si>
  <si>
    <t xml:space="preserve">Sin trampas; el visor de imágenes se cierra con Esc.</t>
  </si>
  <si>
    <t xml:space="preserve">2.1.4</t>
  </si>
  <si>
    <t xml:space="preserve">Atajos de teclado por caracteres</t>
  </si>
  <si>
    <t xml:space="preserve">Panel de accesibilidad</t>
  </si>
  <si>
    <t xml:space="preserve">No había atajos.</t>
  </si>
  <si>
    <t xml:space="preserve">Los atajos usan modificador (Alt + A, Alt + V).</t>
  </si>
  <si>
    <t xml:space="preserve">2.2.1</t>
  </si>
  <si>
    <t xml:space="preserve">Tiempo ajustable</t>
  </si>
  <si>
    <t xml:space="preserve">No había límites de tiempo.</t>
  </si>
  <si>
    <t xml:space="preserve">Motora, cognitiva</t>
  </si>
  <si>
    <t xml:space="preserve">AJ-09</t>
  </si>
  <si>
    <t xml:space="preserve">Sin límite de tiempo; el borrador se conserva en la sesión.</t>
  </si>
  <si>
    <t xml:space="preserve">H-07</t>
  </si>
  <si>
    <t xml:space="preserve">2.2.2</t>
  </si>
  <si>
    <t xml:space="preserve">Pausar, detener, ocultar</t>
  </si>
  <si>
    <t xml:space="preserve">Carrusel automático sin control de pausa.</t>
  </si>
  <si>
    <t xml:space="preserve">TDAH, baja visión, lectores de pantalla</t>
  </si>
  <si>
    <t xml:space="preserve">AJ-15</t>
  </si>
  <si>
    <t xml:space="preserve">Botón de pausa visible; se detiene con «reducir movimiento».</t>
  </si>
  <si>
    <t xml:space="preserve">2.3.1</t>
  </si>
  <si>
    <t xml:space="preserve">Umbral de tres destellos o menos</t>
  </si>
  <si>
    <t xml:space="preserve">Sin destellos.</t>
  </si>
  <si>
    <t xml:space="preserve">2.4.1</t>
  </si>
  <si>
    <t xml:space="preserve">Evitar bloques</t>
  </si>
  <si>
    <t xml:space="preserve">Enlace para saltar al contenido.</t>
  </si>
  <si>
    <t xml:space="preserve">Enlace «Saltar al contenido» como primer foco.</t>
  </si>
  <si>
    <t xml:space="preserve">2.4.2</t>
  </si>
  <si>
    <t xml:space="preserve">Titulado de páginas</t>
  </si>
  <si>
    <t xml:space="preserve">Inspección</t>
  </si>
  <si>
    <t xml:space="preserve">Títulos únicos; la solicitud indica «Paso N de 3».</t>
  </si>
  <si>
    <t xml:space="preserve">2.4.3</t>
  </si>
  <si>
    <t xml:space="preserve">Orden del foco</t>
  </si>
  <si>
    <t xml:space="preserve">Recorrido con Tab anotado</t>
  </si>
  <si>
    <t xml:space="preserve">Orden lógico en el menú; tras un error el foco no se movía.</t>
  </si>
  <si>
    <t xml:space="preserve">Orden anotado en la solicitud; el foco va al resumen de errores y al título de cada paso.</t>
  </si>
  <si>
    <t xml:space="preserve">H-10</t>
  </si>
  <si>
    <t xml:space="preserve">2.4.4</t>
  </si>
  <si>
    <t xml:space="preserve">Propósito de los enlaces (en contexto)</t>
  </si>
  <si>
    <t xml:space="preserve">Actividades, Campus virtual</t>
  </si>
  <si>
    <t xml:space="preserve">4 enlaces sin nombre; «Ingresar aquí» repetido.</t>
  </si>
  <si>
    <t xml:space="preserve">AJ-14</t>
  </si>
  <si>
    <t xml:space="preserve">Enlaces con texto que indica el destino.</t>
  </si>
  <si>
    <t xml:space="preserve">2.4.5</t>
  </si>
  <si>
    <t xml:space="preserve">Múltiples vías</t>
  </si>
  <si>
    <t xml:space="preserve">Menú, migas de pan, pie y comandos de voz.</t>
  </si>
  <si>
    <t xml:space="preserve">2.4.6</t>
  </si>
  <si>
    <t xml:space="preserve">Encabezados y etiquetas</t>
  </si>
  <si>
    <t xml:space="preserve">Encabezados sin jerarquía (todos h3).</t>
  </si>
  <si>
    <t xml:space="preserve">Ceguera, cognitiva</t>
  </si>
  <si>
    <t xml:space="preserve">Encabezados descriptivos y jerárquicos.</t>
  </si>
  <si>
    <t xml:space="preserve">2.4.7</t>
  </si>
  <si>
    <t xml:space="preserve">Foco visible</t>
  </si>
  <si>
    <t xml:space="preserve">Recorrido con Tab + cálculo</t>
  </si>
  <si>
    <t xml:space="preserve">Contorno por defecto poco visible sobre fondos oscuros (1.54:1).</t>
  </si>
  <si>
    <t xml:space="preserve">Motora (teclado), baja visión</t>
  </si>
  <si>
    <t xml:space="preserve">AJ-06</t>
  </si>
  <si>
    <t xml:space="preserve">Doble anillo ciruela + halo amarillo visible en fondos claros y oscuros.</t>
  </si>
  <si>
    <t xml:space="preserve">2.5.1</t>
  </si>
  <si>
    <t xml:space="preserve">Gestos del puntero</t>
  </si>
  <si>
    <t xml:space="preserve">El carrusel tenía flechas.</t>
  </si>
  <si>
    <t xml:space="preserve">Motora</t>
  </si>
  <si>
    <t xml:space="preserve">Sin gestos multipunto ni de trayectoria; botones anterior, siguiente y pausa.</t>
  </si>
  <si>
    <t xml:space="preserve">2.5.2</t>
  </si>
  <si>
    <t xml:space="preserve">Cancelación del puntero</t>
  </si>
  <si>
    <t xml:space="preserve">Activación al soltar (eventos nativos de click).</t>
  </si>
  <si>
    <t xml:space="preserve">2.5.3</t>
  </si>
  <si>
    <t xml:space="preserve">Etiqueta en el nombre</t>
  </si>
  <si>
    <t xml:space="preserve">Script de comparación etiqueta / aria-label</t>
  </si>
  <si>
    <t xml:space="preserve">Sin discrepancias en el flujo.</t>
  </si>
  <si>
    <t xml:space="preserve">Motora (control por voz)</t>
  </si>
  <si>
    <t xml:space="preserve">AJ-08</t>
  </si>
  <si>
    <t xml:space="preserve">0 discrepancias en 10 páginas; «Editar» → «Editar datos del estudiante».</t>
  </si>
  <si>
    <t xml:space="preserve">2.5.4</t>
  </si>
  <si>
    <t xml:space="preserve">Activación mediante movimiento</t>
  </si>
  <si>
    <t xml:space="preserve">No hay funciones activadas por movimiento.</t>
  </si>
  <si>
    <t xml:space="preserve">Comprensible</t>
  </si>
  <si>
    <t xml:space="preserve">3.1.1</t>
  </si>
  <si>
    <t xml:space="preserve">Idioma de la página</t>
  </si>
  <si>
    <t xml:space="preserve">lang="es".</t>
  </si>
  <si>
    <t xml:space="preserve">Ceguera (voz del lector)</t>
  </si>
  <si>
    <t xml:space="preserve">lang="es-PE" en las 19 páginas.</t>
  </si>
  <si>
    <t xml:space="preserve">H-11</t>
  </si>
  <si>
    <t xml:space="preserve">3.1.2</t>
  </si>
  <si>
    <t xml:space="preserve">Idioma de las partes</t>
  </si>
  <si>
    <t xml:space="preserve">Todas (widget)</t>
  </si>
  <si>
    <t xml:space="preserve">Overlay OneTap con textos en inglés sin lang="en".</t>
  </si>
  <si>
    <t xml:space="preserve">Overlay retirado; panel propio en español.</t>
  </si>
  <si>
    <t xml:space="preserve">3.2.1</t>
  </si>
  <si>
    <t xml:space="preserve">Al recibir el foco</t>
  </si>
  <si>
    <t xml:space="preserve">El foco no cambia el contexto.</t>
  </si>
  <si>
    <t xml:space="preserve">3.2.2</t>
  </si>
  <si>
    <t xml:space="preserve">Al recibir entradas</t>
  </si>
  <si>
    <t xml:space="preserve">PT3</t>
  </si>
  <si>
    <t xml:space="preserve">Elegir el nivel actualiza el grado y lo anuncia; no cambia de página.</t>
  </si>
  <si>
    <t xml:space="preserve">3.2.3</t>
  </si>
  <si>
    <t xml:space="preserve">Navegación consistente</t>
  </si>
  <si>
    <t xml:space="preserve">Menú igual en todas las páginas.</t>
  </si>
  <si>
    <t xml:space="preserve">Cognitiva</t>
  </si>
  <si>
    <t xml:space="preserve">Mismo menú, pie y panel en las 19 páginas.</t>
  </si>
  <si>
    <t xml:space="preserve">3.2.4</t>
  </si>
  <si>
    <t xml:space="preserve">Identificación consistente</t>
  </si>
  <si>
    <t xml:space="preserve">Iconos y botones consistentes.</t>
  </si>
  <si>
    <t xml:space="preserve">Mismos nombres para las mismas funciones («Solicitar vacante», «Accesibilidad»).</t>
  </si>
  <si>
    <t xml:space="preserve">H-02</t>
  </si>
  <si>
    <t xml:space="preserve">3.3.1</t>
  </si>
  <si>
    <t xml:space="preserve">Identificación de errores</t>
  </si>
  <si>
    <t xml:space="preserve">Solo avisos nativos del navegador, en inglés; sin aria-invalid.</t>
  </si>
  <si>
    <t xml:space="preserve">Ceguera, cognitiva, baja visión</t>
  </si>
  <si>
    <t xml:space="preserve">AJ-11</t>
  </si>
  <si>
    <t xml:space="preserve">Texto «Error: …» junto al campo, aria-invalid y resumen enlazado que recibe el foco.</t>
  </si>
  <si>
    <t xml:space="preserve">3.3.2</t>
  </si>
  <si>
    <t xml:space="preserve">Etiquetas o instrucciones</t>
  </si>
  <si>
    <t xml:space="preserve">Etiquetas presentes, sin indicar el formato esperado del celular.</t>
  </si>
  <si>
    <t xml:space="preserve">Cognitiva, adultos mayores</t>
  </si>
  <si>
    <t xml:space="preserve">AJ-12</t>
  </si>
  <si>
    <t xml:space="preserve">Obligatorios marcados con *, ayudas de formato y ejemplos debajo de cada etiqueta.</t>
  </si>
  <si>
    <t xml:space="preserve">3.3.3</t>
  </si>
  <si>
    <t xml:space="preserve">Sugerencia ante errores</t>
  </si>
  <si>
    <t xml:space="preserve">Sin sugerencias de corrección.</t>
  </si>
  <si>
    <t xml:space="preserve">Cognitiva, baja alfabetización digital</t>
  </si>
  <si>
    <t xml:space="preserve">Mensajes con causa y ejemplo: «Al correo le falta la @. Ejemplo: nombre@gmail.com».</t>
  </si>
  <si>
    <t xml:space="preserve">3.3.4</t>
  </si>
  <si>
    <t xml:space="preserve">Prevención de errores (legales, financieros, datos)</t>
  </si>
  <si>
    <t xml:space="preserve">En la v2.0 no existía un trámite que enviara datos con compromiso.</t>
  </si>
  <si>
    <t xml:space="preserve">Cognitiva, motora</t>
  </si>
  <si>
    <t xml:space="preserve">AJ-13</t>
  </si>
  <si>
    <t xml:space="preserve">Paso de revisión con «Editar» y opción de anular tras enviar.</t>
  </si>
  <si>
    <t xml:space="preserve">Robusto</t>
  </si>
  <si>
    <t xml:space="preserve">4.1.1</t>
  </si>
  <si>
    <t xml:space="preserve">Procesamiento</t>
  </si>
  <si>
    <t xml:space="preserve">Validación de HTML</t>
  </si>
  <si>
    <t xml:space="preserve">HTML generado sin IDs duplicados (criterio obsoleto en WCAG 2.2).</t>
  </si>
  <si>
    <t xml:space="preserve">H-08</t>
  </si>
  <si>
    <t xml:space="preserve">4.1.2</t>
  </si>
  <si>
    <t xml:space="preserve">Nombre, función, valor</t>
  </si>
  <si>
    <t xml:space="preserve">axe + lector</t>
  </si>
  <si>
    <t xml:space="preserve">PT1, Municipio, Actividades</t>
  </si>
  <si>
    <t xml:space="preserve">6 iframes sin título, 15 atributos aria prohibidos y 4 enlaces sin nombre.</t>
  </si>
  <si>
    <t xml:space="preserve">Ceguera, control por voz</t>
  </si>
  <si>
    <t xml:space="preserve">axe: 0 incumplimientos; role="group" donde hay aria-label; iframes con title.</t>
  </si>
  <si>
    <t xml:space="preserve">H-06</t>
  </si>
  <si>
    <t xml:space="preserve">4.1.3</t>
  </si>
  <si>
    <t xml:space="preserve">Mensajes de estado</t>
  </si>
  <si>
    <t xml:space="preserve">Inspección + árbol de accesibilidad</t>
  </si>
  <si>
    <t xml:space="preserve">El envío y los errores no se anunciaban.</t>
  </si>
  <si>
    <t xml:space="preserve">role=status anuncia el cambio de grado, el borrador y «Solicitud registrada con el código…».</t>
  </si>
  <si>
    <t xml:space="preserve">Resumen por principio (POUR) — calculado desde la matriz</t>
  </si>
  <si>
    <t xml:space="preserve">Total</t>
  </si>
  <si>
    <t xml:space="preserve">v2.0 Cumple*</t>
  </si>
  <si>
    <t xml:space="preserve">v2.0 Parcial</t>
  </si>
  <si>
    <t xml:space="preserve">v2.0 No cumple</t>
  </si>
  <si>
    <t xml:space="preserve">v2.0 No aplica</t>
  </si>
  <si>
    <t xml:space="preserve">v3.0 Cumple</t>
  </si>
  <si>
    <t xml:space="preserve">v3.0 Parcial</t>
  </si>
  <si>
    <t xml:space="preserve">v3.0 No cumple</t>
  </si>
  <si>
    <t xml:space="preserve">v3.0 No aplica</t>
  </si>
  <si>
    <t xml:space="preserve">Estado v3.0</t>
  </si>
  <si>
    <t xml:space="preserve">* En v2.0, «Cumple» incluye los criterios no núcleo sin barrera observada.</t>
  </si>
  <si>
    <t xml:space="preserve">Núcleo evaluados (26):</t>
  </si>
  <si>
    <t xml:space="preserve">Hallazgos priorizados (v2.0) y estado en v3.0</t>
  </si>
  <si>
    <t xml:space="preserve">ID</t>
  </si>
  <si>
    <t xml:space="preserve">Criterio(s)</t>
  </si>
  <si>
    <t xml:space="preserve">Pantalla</t>
  </si>
  <si>
    <t xml:space="preserve">Evidencia (medición)</t>
  </si>
  <si>
    <t xml:space="preserve">S</t>
  </si>
  <si>
    <t xml:space="preserve">Perfiles</t>
  </si>
  <si>
    <t xml:space="preserve">Texto ilegible en las tarjetas de accesos rápidos</t>
  </si>
  <si>
    <t xml:space="preserve">Inicio</t>
  </si>
  <si>
    <t xml:space="preserve">1.53 a 1.86:1 (mínimo 4.5:1)</t>
  </si>
  <si>
    <t xml:space="preserve">Resuelto</t>
  </si>
  <si>
    <t xml:space="preserve">Errores del formulario sin explicación ni sugerencia</t>
  </si>
  <si>
    <t xml:space="preserve">3.3.1, 3.3.3</t>
  </si>
  <si>
    <t xml:space="preserve">Contáctenos</t>
  </si>
  <si>
    <t xml:space="preserve">Avisos nativos en inglés; sin aria-invalid</t>
  </si>
  <si>
    <t xml:space="preserve">Imágenes informativas sin texto alternativo</t>
  </si>
  <si>
    <t xml:space="preserve">Inicio, Municipio</t>
  </si>
  <si>
    <t xml:space="preserve">81/169 y 180/268 con alt vacío</t>
  </si>
  <si>
    <t xml:space="preserve">Estructura de encabezados rota</t>
  </si>
  <si>
    <t xml:space="preserve">1.3.1, 2.4.6</t>
  </si>
  <si>
    <t xml:space="preserve">Sin h1 o con 14 a 17 h1</t>
  </si>
  <si>
    <t xml:space="preserve">Indicador de foco casi invisible</t>
  </si>
  <si>
    <t xml:space="preserve">2.4.7, 1.4.11</t>
  </si>
  <si>
    <t xml:space="preserve">Contorno 1.54:1 sobre fondo oscuro</t>
  </si>
  <si>
    <t xml:space="preserve">Teclado, baja visión</t>
  </si>
  <si>
    <t xml:space="preserve">AJ-02, AJ-06</t>
  </si>
  <si>
    <t xml:space="preserve">Envío y errores no anunciados</t>
  </si>
  <si>
    <t xml:space="preserve">Sin role=status ni aria-live</t>
  </si>
  <si>
    <t xml:space="preserve">Carrusel automático sin pausa</t>
  </si>
  <si>
    <t xml:space="preserve">Rotación sin control</t>
  </si>
  <si>
    <t xml:space="preserve">TDAH, baja visión</t>
  </si>
  <si>
    <t xml:space="preserve">Controles sin nombre accesible</t>
  </si>
  <si>
    <t xml:space="preserve">6 iframes sin title; 15 aria prohibidos</t>
  </si>
  <si>
    <t xml:space="preserve">Contenido que no se alcanza con teclado</t>
  </si>
  <si>
    <t xml:space="preserve">Nivel Primaria, galerías</t>
  </si>
  <si>
    <t xml:space="preserve">Región desplazable sin foco</t>
  </si>
  <si>
    <t xml:space="preserve">Enlaces sin propósito claro</t>
  </si>
  <si>
    <t xml:space="preserve">Actividades, Campus</t>
  </si>
  <si>
    <t xml:space="preserve">4 sin nombre; «Ingresar aquí» repetido</t>
  </si>
  <si>
    <t xml:space="preserve">Widget overlay en inglés</t>
  </si>
  <si>
    <t xml:space="preserve">Textos en inglés sin lang</t>
  </si>
  <si>
    <t xml:space="preserve">Campos sin propósito ni formato</t>
  </si>
  <si>
    <t xml:space="preserve">1.3.5, 3.3.2</t>
  </si>
  <si>
    <t xml:space="preserve">Sin autocomplete; celular type=text</t>
  </si>
  <si>
    <t xml:space="preserve">AJ-10, AJ-12</t>
  </si>
  <si>
    <t xml:space="preserve">Contenido cortado al ampliar o espaciar</t>
  </si>
  <si>
    <t xml:space="preserve">1.4.4, 1.4.10, 1.4.12</t>
  </si>
  <si>
    <t xml:space="preserve">Pie, Contáctenos</t>
  </si>
  <si>
    <t xml:space="preserve">Correo cortado a 320 px; 3 recortes</t>
  </si>
  <si>
    <t xml:space="preserve">Baja visión, dislexia</t>
  </si>
  <si>
    <t xml:space="preserve">H-14</t>
  </si>
  <si>
    <t xml:space="preserve">Objetivos táctiles pequeños</t>
  </si>
  <si>
    <t xml:space="preserve">2.5.8 (WCAG 2.2) / buena práctica</t>
  </si>
  <si>
    <t xml:space="preserve">22 y 65 controles &lt; 24 px</t>
  </si>
  <si>
    <t xml:space="preserve">Temblor, móvil</t>
  </si>
  <si>
    <t xml:space="preserve">Video sin subtítulos revisados ni alternativa</t>
  </si>
  <si>
    <t xml:space="preserve">1.2.2, 1.2.3, 1.2.5</t>
  </si>
  <si>
    <t xml:space="preserve">Solo subtítulos automáticos</t>
  </si>
  <si>
    <t xml:space="preserve">Sordera, ceguera</t>
  </si>
  <si>
    <t xml:space="preserve">AJ-05 (parcial)</t>
  </si>
  <si>
    <t xml:space="preserve">Parcial (plan)</t>
  </si>
  <si>
    <t xml:space="preserve">H-16</t>
  </si>
  <si>
    <t xml:space="preserve">Texto del pie con contraste bajo</t>
  </si>
  <si>
    <t xml:space="preserve">Pie global</t>
  </si>
  <si>
    <t xml:space="preserve">3.75:1</t>
  </si>
  <si>
    <t xml:space="preserve">Alta resueltos:</t>
  </si>
  <si>
    <t xml:space="preserve">Media resueltos o con plan:</t>
  </si>
  <si>
    <t xml:space="preserve">Trazabilidad hallazgo → criterio → ajuste → evidencia (15 ajustes: 5 por categoría)</t>
  </si>
  <si>
    <t xml:space="preserve">Criterio WCAG</t>
  </si>
  <si>
    <t xml:space="preserve">Antes (v2.0)</t>
  </si>
  <si>
    <t xml:space="preserve">Después (v3.0)</t>
  </si>
  <si>
    <t xml:space="preserve">Evidencia</t>
  </si>
  <si>
    <t xml:space="preserve">Sensorial</t>
  </si>
  <si>
    <t xml:space="preserve">H-01, H-16</t>
  </si>
  <si>
    <t xml:space="preserve">Texto claro sobre degradado rosa (1.53:1); pie 3.75:1</t>
  </si>
  <si>
    <t xml:space="preserve">Tarjetas blancas con texto ciruela 12.63:1 y secundario 6.26:1; velo de la portada reforzado para ≥ 4.5:1 sobre cualquier foto</t>
  </si>
  <si>
    <t xml:space="preserve">Fig. 1; contraste calculado</t>
  </si>
  <si>
    <t xml:space="preserve">Bordes y foco sin contraste suficiente</t>
  </si>
  <si>
    <t xml:space="preserve">Borde de campos #8a7684 (4.2:1); halo de foco 9.13:1</t>
  </si>
  <si>
    <t xml:space="preserve">Fig. 2</t>
  </si>
  <si>
    <t xml:space="preserve">H-03, H-04</t>
  </si>
  <si>
    <t xml:space="preserve">1.1.1, 1.3.1</t>
  </si>
  <si>
    <t xml:space="preserve">Alt vacío en fotos informativas; sin h1</t>
  </si>
  <si>
    <t xml:space="preserve">Alt descriptivo; un h1 y jerarquía sin saltos</t>
  </si>
  <si>
    <t xml:space="preserve">axe 0; auditoría de encabezados</t>
  </si>
  <si>
    <t xml:space="preserve">Correo cortado y texto oculto en móvil</t>
  </si>
  <si>
    <t xml:space="preserve">Ajuste de líneas, 0 px de desborde a 320 px y 200 %</t>
  </si>
  <si>
    <t xml:space="preserve">Fig. 3</t>
  </si>
  <si>
    <t xml:space="preserve">1.4.1, 1.2.2</t>
  </si>
  <si>
    <t xml:space="preserve">Videos sin subtítulos activos; estados solo nativos</t>
  </si>
  <si>
    <t xml:space="preserve">Subtítulos activos por defecto; errores con texto y no solo color; corrección de daltonismo</t>
  </si>
  <si>
    <t xml:space="preserve">Fig. 1 (simulación)</t>
  </si>
  <si>
    <t xml:space="preserve">Contorno por defecto 1.54:1</t>
  </si>
  <si>
    <t xml:space="preserve">Doble anillo ciruela + halo amarillo en todos los controles</t>
  </si>
  <si>
    <t xml:space="preserve">2.1.1, 2.4.3</t>
  </si>
  <si>
    <t xml:space="preserve">Región y botones sin foco</t>
  </si>
  <si>
    <t xml:space="preserve">Todo operable con Tab; orden anotado; foco gestionado tras errores</t>
  </si>
  <si>
    <t xml:space="preserve">Fig. C1; Anexo D</t>
  </si>
  <si>
    <t xml:space="preserve">H-08, H-14</t>
  </si>
  <si>
    <t xml:space="preserve">2.5.3, 4.1.2, buena práctica 44 px</t>
  </si>
  <si>
    <t xml:space="preserve">Controles de 21 px; nombres que no coinciden</t>
  </si>
  <si>
    <t xml:space="preserve">Menú, opciones y botones ≥ 44 px; nombre accesible que empieza por la etiqueta visible; control por voz</t>
  </si>
  <si>
    <t xml:space="preserve">Auditoría de tamaños</t>
  </si>
  <si>
    <t xml:space="preserve">Formulario sin borrador</t>
  </si>
  <si>
    <t xml:space="preserve">Sin límite de tiempo; borrador en la sesión y botón para borrarlo</t>
  </si>
  <si>
    <t xml:space="preserve">Prueba funcional</t>
  </si>
  <si>
    <t xml:space="preserve">Escritura completa de cada dato</t>
  </si>
  <si>
    <t xml:space="preserve">autocomplete y teclado numérico para el celular</t>
  </si>
  <si>
    <t xml:space="preserve">Aviso nativo en inglés</t>
  </si>
  <si>
    <t xml:space="preserve">Mensaje con causa y ejemplo; resumen de errores enlazado</t>
  </si>
  <si>
    <t xml:space="preserve">Fig. 4; Anexo D</t>
  </si>
  <si>
    <t xml:space="preserve">H-06, H-12</t>
  </si>
  <si>
    <t xml:space="preserve">3.3.2, 4.1.3</t>
  </si>
  <si>
    <t xml:space="preserve">Formulario largo, sin guía ni anuncios</t>
  </si>
  <si>
    <t xml:space="preserve">Tres pasos con indicador de progreso, ayudas de formato y mensajes de estado</t>
  </si>
  <si>
    <t xml:space="preserve">No existía revisión ni reversión</t>
  </si>
  <si>
    <t xml:space="preserve">Paso «Revisar y enviar» con «Editar» y opción de anular</t>
  </si>
  <si>
    <t xml:space="preserve">Fig. 5</t>
  </si>
  <si>
    <t xml:space="preserve">H-10, H-11</t>
  </si>
  <si>
    <t xml:space="preserve">3.1.2, 3.2.4, 2.4.4</t>
  </si>
  <si>
    <t xml:space="preserve">Overlay en inglés; «Ingresar aquí» repetido</t>
  </si>
  <si>
    <t xml:space="preserve">Panel propio en español; enlaces que nombran su destino; mismos nombres en todo el sitio</t>
  </si>
  <si>
    <t xml:space="preserve">Fig. C2</t>
  </si>
  <si>
    <t xml:space="preserve">Carrusel que no se detiene</t>
  </si>
  <si>
    <t xml:space="preserve">Botón de pausa y respeto a «reducir movimiento»</t>
  </si>
  <si>
    <t xml:space="preserve">Por categoría:</t>
  </si>
  <si>
    <t xml:space="preserve">Auditoría adicional de criterios nuevos de WCAG 2.2 sobre la v3.0 (bonificación B3)</t>
  </si>
  <si>
    <t xml:space="preserve">Resultado v3.0</t>
  </si>
  <si>
    <t xml:space="preserve">2.4.11</t>
  </si>
  <si>
    <t xml:space="preserve">Foco no oculto (mínimo)</t>
  </si>
  <si>
    <t xml:space="preserve">El botón flotante de accesibilidad se redujo a 56 px y se añadió scroll-padding (88 px abajo y 96 px arriba); el control enfocado no queda tapado.</t>
  </si>
  <si>
    <t xml:space="preserve">2.5.7</t>
  </si>
  <si>
    <t xml:space="preserve">Movimientos de arrastre</t>
  </si>
  <si>
    <t xml:space="preserve">Ninguna función requiere arrastrar; el control deslizante del panel también se opera con flechas.</t>
  </si>
  <si>
    <t xml:space="preserve">2.5.8</t>
  </si>
  <si>
    <t xml:space="preserve">Tamaño del objetivo (mínimo)</t>
  </si>
  <si>
    <t xml:space="preserve">Controles del flujo ≥ 24 × 24 px (barra superior a 24 px; menú y opciones a 44 px); los enlaces dentro de párrafos están exentos.</t>
  </si>
  <si>
    <t xml:space="preserve">3.2.6</t>
  </si>
  <si>
    <t xml:space="preserve">Ayuda consistente</t>
  </si>
  <si>
    <t xml:space="preserve">Teléfonos, correo y «Opciones de accesibilidad» en la barra superior, y contacto en el pie, en el mismo lugar de las 19 páginas.</t>
  </si>
  <si>
    <t xml:space="preserve">3.3.7</t>
  </si>
  <si>
    <t xml:space="preserve">Entrada redundante</t>
  </si>
  <si>
    <t xml:space="preserve">La revisión muestra lo ya escrito; anular conserva los datos; el borrador evita reescribir.</t>
  </si>
  <si>
    <t xml:space="preserve">3.3.8</t>
  </si>
  <si>
    <t xml:space="preserve">Autenticación accesible (mínimo)</t>
  </si>
  <si>
    <t xml:space="preserve">El flujo no tiene inicio de sesión; los campus virtuales externos quedan fuera del alcance.</t>
  </si>
  <si>
    <t xml:space="preserve">Línea base del APF2 — DATOS DE EJEMPLO: reemplazar con las métricas reales del APF2</t>
  </si>
  <si>
    <t xml:space="preserve">Celdas amarillas = editar. La comparación de la hoja Validación usa estas celdas.</t>
  </si>
  <si>
    <t xml:space="preserve">Tarea</t>
  </si>
  <si>
    <t xml:space="preserve">Éxito APF2 (%)</t>
  </si>
  <si>
    <t xml:space="preserve">Mediana de tiempo APF2 (s)</t>
  </si>
  <si>
    <t xml:space="preserve">n</t>
  </si>
  <si>
    <t xml:space="preserve">T1</t>
  </si>
  <si>
    <t xml:space="preserve">T2</t>
  </si>
  <si>
    <t xml:space="preserve">T3</t>
  </si>
  <si>
    <t xml:space="preserve">SUS promedio</t>
  </si>
  <si>
    <t xml:space="preserve">Validación con participantes v3.0 — DATOS DE EJEMPLO: reemplazar con las sesiones reales</t>
  </si>
  <si>
    <t xml:space="preserve">Resultado: S = completa sin ayuda, P = parcial, N = no completa. SEQ 1–7. Celdas amarillas = editar; el resto son fórmulas.</t>
  </si>
  <si>
    <t xml:space="preserve">Participante</t>
  </si>
  <si>
    <t xml:space="preserve">Perfil</t>
  </si>
  <si>
    <t xml:space="preserve">Descripción</t>
  </si>
  <si>
    <t xml:space="preserve">Tecnología / condición de prueba</t>
  </si>
  <si>
    <t xml:space="preserve">Tipo</t>
  </si>
  <si>
    <t xml:space="preserve">Edad</t>
  </si>
  <si>
    <t xml:space="preserve">P1</t>
  </si>
  <si>
    <t xml:space="preserve">Visual</t>
  </si>
  <si>
    <t xml:space="preserve">Baja visión; madre de familia</t>
  </si>
  <si>
    <t xml:space="preserve">Zoom 200 % + alto contraste del panel</t>
  </si>
  <si>
    <t xml:space="preserve">Condición real (ejemplo)</t>
  </si>
  <si>
    <t xml:space="preserve">P2</t>
  </si>
  <si>
    <t xml:space="preserve">Ceguera; usuario habitual de lector</t>
  </si>
  <si>
    <t xml:space="preserve">NVDA 2025 + Firefox, solo teclado</t>
  </si>
  <si>
    <t xml:space="preserve">Tecnología de apoyo habitual (ejemplo)</t>
  </si>
  <si>
    <t xml:space="preserve">P3</t>
  </si>
  <si>
    <t xml:space="preserve">Daltonismo (deuteranopía)</t>
  </si>
  <si>
    <t xml:space="preserve">Sin ayuda; corrección de color del panel</t>
  </si>
  <si>
    <t xml:space="preserve">P4</t>
  </si>
  <si>
    <t xml:space="preserve">Motor</t>
  </si>
  <si>
    <t xml:space="preserve">Uso con una mano, sin mouse</t>
  </si>
  <si>
    <t xml:space="preserve">Solo teclado (mano dominante inmovilizada)</t>
  </si>
  <si>
    <t xml:space="preserve">Simulación declarada</t>
  </si>
  <si>
    <t xml:space="preserve">P5</t>
  </si>
  <si>
    <t xml:space="preserve">Auditivo</t>
  </si>
  <si>
    <t xml:space="preserve">Hipoacusia</t>
  </si>
  <si>
    <t xml:space="preserve">Sin audio; subtítulos</t>
  </si>
  <si>
    <t xml:space="preserve">P6</t>
  </si>
  <si>
    <t xml:space="preserve">Cognitivo</t>
  </si>
  <si>
    <t xml:space="preserve">Baja alfabetización digital; adulto mayor</t>
  </si>
  <si>
    <t xml:space="preserve">Sin límite de tiempo; lectura en voz alta</t>
  </si>
  <si>
    <t xml:space="preserve">Resultados por tarea</t>
  </si>
  <si>
    <t xml:space="preserve">Resultado (S/P/N)</t>
  </si>
  <si>
    <t xml:space="preserve">Tiempo (s)</t>
  </si>
  <si>
    <t xml:space="preserve">Errores</t>
  </si>
  <si>
    <t xml:space="preserve">SEQ (1-7)</t>
  </si>
  <si>
    <t xml:space="preserve">P</t>
  </si>
  <si>
    <t xml:space="preserve">T4</t>
  </si>
  <si>
    <t xml:space="preserve">Resumen por tarea y comparación con APF2</t>
  </si>
  <si>
    <t xml:space="preserve">Éxito v3.0</t>
  </si>
  <si>
    <t xml:space="preserve">Éxito APF2</t>
  </si>
  <si>
    <t xml:space="preserve">Diferencia (p.p.)</t>
  </si>
  <si>
    <t xml:space="preserve">Mediana tiempo v3.0 (s)</t>
  </si>
  <si>
    <t xml:space="preserve">Mediana APF2 (s)</t>
  </si>
  <si>
    <t xml:space="preserve">SEQ promedio</t>
  </si>
  <si>
    <t xml:space="preserve">Errores promedio</t>
  </si>
  <si>
    <t xml:space="preserve">n. a. (tarea nueva)</t>
  </si>
  <si>
    <t xml:space="preserve">Global</t>
  </si>
  <si>
    <t xml:space="preserve">SUS por participante (ítems 1–10, escala 1–5)</t>
  </si>
  <si>
    <t xml:space="preserve">Í1</t>
  </si>
  <si>
    <t xml:space="preserve">Í2</t>
  </si>
  <si>
    <t xml:space="preserve">Í3</t>
  </si>
  <si>
    <t xml:space="preserve">Í4</t>
  </si>
  <si>
    <t xml:space="preserve">Í5</t>
  </si>
  <si>
    <t xml:space="preserve">Í6</t>
  </si>
  <si>
    <t xml:space="preserve">Í7</t>
  </si>
  <si>
    <t xml:space="preserve">Í8</t>
  </si>
  <si>
    <t xml:space="preserve">Í9</t>
  </si>
  <si>
    <t xml:space="preserve">Í10</t>
  </si>
  <si>
    <t xml:space="preserve">SUS</t>
  </si>
  <si>
    <t xml:space="preserve">Promedio v3.0</t>
  </si>
  <si>
    <t xml:space="preserve">SUS APF2</t>
  </si>
  <si>
    <t xml:space="preserve">Diferencia</t>
  </si>
  <si>
    <t xml:space="preserve">Meta SUS ≥ 68</t>
  </si>
  <si>
    <t xml:space="preserve">Barreras residuales observadas — DATOS DE EJEMPLO</t>
  </si>
  <si>
    <t xml:space="preserve">Barrera</t>
  </si>
  <si>
    <t xml:space="preserve">Severidad</t>
  </si>
  <si>
    <t xml:space="preserve">Plan</t>
  </si>
  <si>
    <t xml:space="preserve">B-01</t>
  </si>
  <si>
    <t xml:space="preserve">El campo de fecha se anuncia como tres segmentos (día, mes, año) sin instrucciones de formato audibles al entrar a cada uno.</t>
  </si>
  <si>
    <t xml:space="preserve">1.3.1, 3.3.2</t>
  </si>
  <si>
    <t xml:space="preserve">Sustituir por tres listas (día, mes, año) o un campo de texto con formato dd/mm/aaaa.</t>
  </si>
  <si>
    <t xml:space="preserve">B-02</t>
  </si>
  <si>
    <t xml:space="preserve">Buscó «Horarios» en «Nosotros» antes de hallarlo en «Campus virtual».</t>
  </si>
  <si>
    <t xml:space="preserve">3.2.3 (arquitectura)</t>
  </si>
  <si>
    <t xml:space="preserve">Agregar «Horarios de clase» a los accesos rápidos de Inicio y prueba de árbol (tree test).</t>
  </si>
  <si>
    <t xml:space="preserve">B-03</t>
  </si>
  <si>
    <t xml:space="preserve">Los subtítulos automáticos del video tienen errores en nombres propios.</t>
  </si>
  <si>
    <t xml:space="preserve">Subir subtítulos revisados (.srt) al canal de YouTube.</t>
  </si>
  <si>
    <t xml:space="preserve">B-04</t>
  </si>
  <si>
    <t xml:space="preserve">Después del envío correcto no sabía si debía esperar una respuesta por correo o por teléfono.</t>
  </si>
  <si>
    <t xml:space="preserve">Indicar en el mensaje de éxito el medio y el plazo de respuesta, como en la solicitud.</t>
  </si>
  <si>
    <t xml:space="preserve">B-05</t>
  </si>
  <si>
    <t xml:space="preserve">Con alto contraste y 175 % de texto, el nombre del PDF ocupaba tres líneas y perdía la extensión.</t>
  </si>
  <si>
    <t xml:space="preserve">Mostrar formato y tamaño en una línea aparte («PDF, 240 KB»).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</si>
</sst>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%"/>
    <numFmt numFmtId="167" formatCode="\+0;\-0;0"/>
    <numFmt numFmtId="168" formatCode="0.0"/>
    <numFmt numFmtId="169" formatCode="\+0.0;\-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A274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4A274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4A2743"/>
      <name val="Arial"/>
      <family val="0"/>
      <charset val="1"/>
    </font>
    <font>
      <sz val="9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A8"/>
        <bgColor rgb="FFFCE8B2"/>
      </patternFill>
    </fill>
    <fill>
      <patternFill patternType="solid">
        <fgColor rgb="FF4A274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C3CB"/>
      </left>
      <right style="thin">
        <color rgb="FFCFC3CB"/>
      </right>
      <top style="thin">
        <color rgb="FFCFC3CB"/>
      </top>
      <bottom style="thin">
        <color rgb="FFCFC3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4A274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 patternType="solid">
          <fgColor rgb="FFFCE8B2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4C7C3"/>
        </patternFill>
      </fill>
    </dxf>
    <dxf>
      <fill>
        <patternFill>
          <bgColor rgb="FFFCE8B2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3CB"/>
      <rgbColor rgb="FF808080"/>
      <rgbColor rgb="FF9999FF"/>
      <rgbColor rgb="FF993366"/>
      <rgbColor rgb="FFFCE8B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2A8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27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35.0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35.0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23.85" hidden="false" customHeight="false" outlineLevel="0" collapsed="false">
      <c r="A12" s="2" t="s">
        <v>19</v>
      </c>
      <c r="B12" s="4" t="s">
        <v>20</v>
      </c>
    </row>
    <row r="13" customFormat="false" ht="15" hidden="false" customHeight="false" outlineLevel="0" collapsed="false">
      <c r="A13" s="2" t="s">
        <v>21</v>
      </c>
      <c r="B13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5" min="5" style="0" width="6"/>
    <col collapsed="false" customWidth="true" hidden="false" outlineLevel="0" max="7" min="6" style="0" width="7"/>
    <col collapsed="false" customWidth="true" hidden="false" outlineLevel="0" max="8" min="8" style="0" width="22"/>
    <col collapsed="false" customWidth="true" hidden="false" outlineLevel="0" max="9" min="9" style="0" width="26"/>
    <col collapsed="false" customWidth="true" hidden="false" outlineLevel="0" max="10" min="10" style="0" width="13"/>
    <col collapsed="false" customWidth="true" hidden="false" outlineLevel="0" max="11" min="11" style="0" width="42"/>
    <col collapsed="false" customWidth="true" hidden="false" outlineLevel="0" max="13" min="12" style="0" width="9"/>
    <col collapsed="false" customWidth="true" hidden="false" outlineLevel="0" max="15" min="14" style="0" width="10"/>
    <col collapsed="false" customWidth="true" hidden="false" outlineLevel="0" max="16" min="16" style="0" width="24"/>
    <col collapsed="false" customWidth="true" hidden="false" outlineLevel="0" max="17" min="17" style="0" width="9"/>
    <col collapsed="false" customWidth="true" hidden="false" outlineLevel="0" max="18" min="18" style="0" width="13"/>
    <col collapsed="false" customWidth="true" hidden="false" outlineLevel="0" max="19" min="19" style="0" width="46"/>
  </cols>
  <sheetData>
    <row r="1" customFormat="false" ht="16.15" hidden="false" customHeight="false" outlineLevel="0" collapsed="false">
      <c r="A1" s="5" t="s">
        <v>23</v>
      </c>
    </row>
    <row r="2" customFormat="false" ht="15" hidden="false" customHeight="false" outlineLevel="0" collapsed="false">
      <c r="A2" s="6" t="s">
        <v>24</v>
      </c>
    </row>
    <row r="4" customFormat="false" ht="35.05" hidden="false" customHeight="false" outlineLevel="0" collapsed="false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  <c r="J4" s="7" t="s">
        <v>34</v>
      </c>
      <c r="K4" s="7" t="s">
        <v>35</v>
      </c>
      <c r="L4" s="7" t="s">
        <v>36</v>
      </c>
      <c r="M4" s="7" t="s">
        <v>37</v>
      </c>
      <c r="N4" s="7" t="s">
        <v>38</v>
      </c>
      <c r="O4" s="7" t="s">
        <v>39</v>
      </c>
      <c r="P4" s="7" t="s">
        <v>40</v>
      </c>
      <c r="Q4" s="7" t="s">
        <v>41</v>
      </c>
      <c r="R4" s="7" t="s">
        <v>42</v>
      </c>
      <c r="S4" s="7" t="s">
        <v>43</v>
      </c>
    </row>
    <row r="5" customFormat="false" ht="22.35" hidden="false" customHeight="false" outlineLevel="0" collapsed="false">
      <c r="A5" s="8" t="s">
        <v>44</v>
      </c>
      <c r="B5" s="8" t="s">
        <v>45</v>
      </c>
      <c r="C5" s="8" t="s">
        <v>46</v>
      </c>
      <c r="D5" s="8" t="s">
        <v>47</v>
      </c>
      <c r="E5" s="8" t="s">
        <v>48</v>
      </c>
      <c r="F5" s="8" t="s">
        <v>49</v>
      </c>
      <c r="G5" s="8" t="s">
        <v>49</v>
      </c>
      <c r="H5" s="8" t="s">
        <v>50</v>
      </c>
      <c r="I5" s="8" t="s">
        <v>51</v>
      </c>
      <c r="J5" s="8" t="s">
        <v>52</v>
      </c>
      <c r="K5" s="8" t="s">
        <v>53</v>
      </c>
      <c r="L5" s="9" t="n">
        <v>3</v>
      </c>
      <c r="M5" s="9" t="n">
        <v>3</v>
      </c>
      <c r="N5" s="10" t="n">
        <f aca="false">IF(OR(L5="",M5=""),"",L5*M5)</f>
        <v>9</v>
      </c>
      <c r="O5" s="10" t="str">
        <f aca="false">IF(N5="","",IF(N5&gt;=8,"Alta",IF(N5&gt;=4,"Media","Baja")))</f>
        <v>Alta</v>
      </c>
      <c r="P5" s="8" t="s">
        <v>54</v>
      </c>
      <c r="Q5" s="8" t="s">
        <v>55</v>
      </c>
      <c r="R5" s="8" t="s">
        <v>56</v>
      </c>
      <c r="S5" s="8" t="s">
        <v>57</v>
      </c>
    </row>
    <row r="6" customFormat="false" ht="22.35" hidden="false" customHeight="false" outlineLevel="0" collapsed="false">
      <c r="A6" s="8" t="s">
        <v>58</v>
      </c>
      <c r="B6" s="8" t="s">
        <v>45</v>
      </c>
      <c r="C6" s="8" t="s">
        <v>59</v>
      </c>
      <c r="D6" s="8" t="s">
        <v>60</v>
      </c>
      <c r="E6" s="8" t="s">
        <v>48</v>
      </c>
      <c r="F6" s="8" t="s">
        <v>61</v>
      </c>
      <c r="G6" s="8" t="s">
        <v>61</v>
      </c>
      <c r="H6" s="8" t="s">
        <v>62</v>
      </c>
      <c r="I6" s="8" t="s">
        <v>63</v>
      </c>
      <c r="J6" s="8" t="s">
        <v>64</v>
      </c>
      <c r="K6" s="8" t="s">
        <v>58</v>
      </c>
      <c r="L6" s="9"/>
      <c r="M6" s="9"/>
      <c r="N6" s="10" t="str">
        <f aca="false">IF(OR(L6="",M6=""),"",L6*M6)</f>
        <v/>
      </c>
      <c r="O6" s="10" t="str">
        <f aca="false">IF(N6="","",IF(N6&gt;=8,"Alta",IF(N6&gt;=4,"Media","Baja")))</f>
        <v/>
      </c>
      <c r="P6" s="8" t="s">
        <v>58</v>
      </c>
      <c r="Q6" s="8" t="s">
        <v>58</v>
      </c>
      <c r="R6" s="8" t="s">
        <v>64</v>
      </c>
      <c r="S6" s="8" t="s">
        <v>58</v>
      </c>
    </row>
    <row r="7" customFormat="false" ht="22.35" hidden="false" customHeight="false" outlineLevel="0" collapsed="false">
      <c r="A7" s="8" t="s">
        <v>65</v>
      </c>
      <c r="B7" s="8" t="s">
        <v>45</v>
      </c>
      <c r="C7" s="8" t="s">
        <v>66</v>
      </c>
      <c r="D7" s="8" t="s">
        <v>67</v>
      </c>
      <c r="E7" s="8" t="s">
        <v>48</v>
      </c>
      <c r="F7" s="8" t="s">
        <v>61</v>
      </c>
      <c r="G7" s="8" t="s">
        <v>49</v>
      </c>
      <c r="H7" s="8" t="s">
        <v>62</v>
      </c>
      <c r="I7" s="8" t="s">
        <v>68</v>
      </c>
      <c r="J7" s="8" t="s">
        <v>69</v>
      </c>
      <c r="K7" s="8" t="s">
        <v>70</v>
      </c>
      <c r="L7" s="9" t="n">
        <v>2</v>
      </c>
      <c r="M7" s="9" t="n">
        <v>1</v>
      </c>
      <c r="N7" s="10" t="n">
        <f aca="false">IF(OR(L7="",M7=""),"",L7*M7)</f>
        <v>2</v>
      </c>
      <c r="O7" s="10" t="str">
        <f aca="false">IF(N7="","",IF(N7&gt;=8,"Alta",IF(N7&gt;=4,"Media","Baja")))</f>
        <v>Baja</v>
      </c>
      <c r="P7" s="8" t="s">
        <v>71</v>
      </c>
      <c r="Q7" s="8" t="s">
        <v>72</v>
      </c>
      <c r="R7" s="8" t="s">
        <v>69</v>
      </c>
      <c r="S7" s="8" t="s">
        <v>73</v>
      </c>
    </row>
    <row r="8" customFormat="false" ht="22.35" hidden="false" customHeight="false" outlineLevel="0" collapsed="false">
      <c r="A8" s="8" t="s">
        <v>65</v>
      </c>
      <c r="B8" s="8" t="s">
        <v>45</v>
      </c>
      <c r="C8" s="8" t="s">
        <v>74</v>
      </c>
      <c r="D8" s="8" t="s">
        <v>75</v>
      </c>
      <c r="E8" s="8" t="s">
        <v>48</v>
      </c>
      <c r="F8" s="8" t="s">
        <v>61</v>
      </c>
      <c r="G8" s="8" t="s">
        <v>49</v>
      </c>
      <c r="H8" s="8" t="s">
        <v>62</v>
      </c>
      <c r="I8" s="8" t="s">
        <v>68</v>
      </c>
      <c r="J8" s="8" t="s">
        <v>52</v>
      </c>
      <c r="K8" s="8" t="s">
        <v>76</v>
      </c>
      <c r="L8" s="9" t="n">
        <v>2</v>
      </c>
      <c r="M8" s="9" t="n">
        <v>1</v>
      </c>
      <c r="N8" s="10" t="n">
        <f aca="false">IF(OR(L8="",M8=""),"",L8*M8)</f>
        <v>2</v>
      </c>
      <c r="O8" s="10" t="str">
        <f aca="false">IF(N8="","",IF(N8&gt;=8,"Alta",IF(N8&gt;=4,"Media","Baja")))</f>
        <v>Baja</v>
      </c>
      <c r="P8" s="8" t="s">
        <v>77</v>
      </c>
      <c r="Q8" s="8" t="s">
        <v>58</v>
      </c>
      <c r="R8" s="8" t="s">
        <v>52</v>
      </c>
      <c r="S8" s="8" t="s">
        <v>78</v>
      </c>
    </row>
    <row r="9" customFormat="false" ht="15" hidden="false" customHeight="false" outlineLevel="0" collapsed="false">
      <c r="A9" s="8" t="s">
        <v>58</v>
      </c>
      <c r="B9" s="8" t="s">
        <v>45</v>
      </c>
      <c r="C9" s="8" t="s">
        <v>79</v>
      </c>
      <c r="D9" s="8" t="s">
        <v>80</v>
      </c>
      <c r="E9" s="8" t="s">
        <v>81</v>
      </c>
      <c r="F9" s="8" t="s">
        <v>61</v>
      </c>
      <c r="G9" s="8" t="s">
        <v>61</v>
      </c>
      <c r="H9" s="8" t="s">
        <v>62</v>
      </c>
      <c r="I9" s="8" t="s">
        <v>82</v>
      </c>
      <c r="J9" s="8" t="s">
        <v>64</v>
      </c>
      <c r="K9" s="8" t="s">
        <v>58</v>
      </c>
      <c r="L9" s="9"/>
      <c r="M9" s="9"/>
      <c r="N9" s="10" t="str">
        <f aca="false">IF(OR(L9="",M9=""),"",L9*M9)</f>
        <v/>
      </c>
      <c r="O9" s="10" t="str">
        <f aca="false">IF(N9="","",IF(N9&gt;=8,"Alta",IF(N9&gt;=4,"Media","Baja")))</f>
        <v/>
      </c>
      <c r="P9" s="8" t="s">
        <v>58</v>
      </c>
      <c r="Q9" s="8" t="s">
        <v>58</v>
      </c>
      <c r="R9" s="8" t="s">
        <v>64</v>
      </c>
      <c r="S9" s="8" t="s">
        <v>58</v>
      </c>
    </row>
    <row r="10" customFormat="false" ht="22.35" hidden="false" customHeight="false" outlineLevel="0" collapsed="false">
      <c r="A10" s="8" t="s">
        <v>65</v>
      </c>
      <c r="B10" s="8" t="s">
        <v>45</v>
      </c>
      <c r="C10" s="8" t="s">
        <v>83</v>
      </c>
      <c r="D10" s="8" t="s">
        <v>84</v>
      </c>
      <c r="E10" s="8" t="s">
        <v>81</v>
      </c>
      <c r="F10" s="8" t="s">
        <v>61</v>
      </c>
      <c r="G10" s="8" t="s">
        <v>49</v>
      </c>
      <c r="H10" s="8" t="s">
        <v>62</v>
      </c>
      <c r="I10" s="8" t="s">
        <v>68</v>
      </c>
      <c r="J10" s="8" t="s">
        <v>52</v>
      </c>
      <c r="K10" s="8" t="s">
        <v>85</v>
      </c>
      <c r="L10" s="9" t="n">
        <v>2</v>
      </c>
      <c r="M10" s="9" t="n">
        <v>1</v>
      </c>
      <c r="N10" s="10" t="n">
        <f aca="false">IF(OR(L10="",M10=""),"",L10*M10)</f>
        <v>2</v>
      </c>
      <c r="O10" s="10" t="str">
        <f aca="false">IF(N10="","",IF(N10&gt;=8,"Alta",IF(N10&gt;=4,"Media","Baja")))</f>
        <v>Baja</v>
      </c>
      <c r="P10" s="8" t="s">
        <v>77</v>
      </c>
      <c r="Q10" s="8" t="s">
        <v>58</v>
      </c>
      <c r="R10" s="8" t="s">
        <v>52</v>
      </c>
      <c r="S10" s="8" t="s">
        <v>86</v>
      </c>
    </row>
    <row r="11" customFormat="false" ht="22.35" hidden="false" customHeight="false" outlineLevel="0" collapsed="false">
      <c r="A11" s="8" t="s">
        <v>87</v>
      </c>
      <c r="B11" s="8" t="s">
        <v>45</v>
      </c>
      <c r="C11" s="8" t="s">
        <v>88</v>
      </c>
      <c r="D11" s="8" t="s">
        <v>89</v>
      </c>
      <c r="E11" s="8" t="s">
        <v>48</v>
      </c>
      <c r="F11" s="8" t="s">
        <v>49</v>
      </c>
      <c r="G11" s="8" t="s">
        <v>49</v>
      </c>
      <c r="H11" s="8" t="s">
        <v>90</v>
      </c>
      <c r="I11" s="8" t="s">
        <v>91</v>
      </c>
      <c r="J11" s="8" t="s">
        <v>52</v>
      </c>
      <c r="K11" s="8" t="s">
        <v>92</v>
      </c>
      <c r="L11" s="9" t="n">
        <v>3</v>
      </c>
      <c r="M11" s="9" t="n">
        <v>3</v>
      </c>
      <c r="N11" s="10" t="n">
        <f aca="false">IF(OR(L11="",M11=""),"",L11*M11)</f>
        <v>9</v>
      </c>
      <c r="O11" s="10" t="str">
        <f aca="false">IF(N11="","",IF(N11&gt;=8,"Alta",IF(N11&gt;=4,"Media","Baja")))</f>
        <v>Alta</v>
      </c>
      <c r="P11" s="8" t="s">
        <v>93</v>
      </c>
      <c r="Q11" s="8" t="s">
        <v>55</v>
      </c>
      <c r="R11" s="8" t="s">
        <v>56</v>
      </c>
      <c r="S11" s="8" t="s">
        <v>94</v>
      </c>
    </row>
    <row r="12" customFormat="false" ht="22.35" hidden="false" customHeight="false" outlineLevel="0" collapsed="false">
      <c r="A12" s="8" t="s">
        <v>58</v>
      </c>
      <c r="B12" s="8" t="s">
        <v>45</v>
      </c>
      <c r="C12" s="8" t="s">
        <v>95</v>
      </c>
      <c r="D12" s="8" t="s">
        <v>96</v>
      </c>
      <c r="E12" s="8" t="s">
        <v>48</v>
      </c>
      <c r="F12" s="8" t="s">
        <v>61</v>
      </c>
      <c r="G12" s="8" t="s">
        <v>49</v>
      </c>
      <c r="H12" s="8" t="s">
        <v>97</v>
      </c>
      <c r="I12" s="8" t="s">
        <v>91</v>
      </c>
      <c r="J12" s="8" t="s">
        <v>98</v>
      </c>
      <c r="K12" s="8" t="s">
        <v>58</v>
      </c>
      <c r="L12" s="9"/>
      <c r="M12" s="9"/>
      <c r="N12" s="10" t="str">
        <f aca="false">IF(OR(L12="",M12=""),"",L12*M12)</f>
        <v/>
      </c>
      <c r="O12" s="10" t="str">
        <f aca="false">IF(N12="","",IF(N12&gt;=8,"Alta",IF(N12&gt;=4,"Media","Baja")))</f>
        <v/>
      </c>
      <c r="P12" s="8" t="s">
        <v>58</v>
      </c>
      <c r="Q12" s="8" t="s">
        <v>58</v>
      </c>
      <c r="R12" s="8" t="s">
        <v>56</v>
      </c>
      <c r="S12" s="8" t="s">
        <v>99</v>
      </c>
    </row>
    <row r="13" customFormat="false" ht="22.35" hidden="false" customHeight="false" outlineLevel="0" collapsed="false">
      <c r="A13" s="8" t="s">
        <v>58</v>
      </c>
      <c r="B13" s="8" t="s">
        <v>45</v>
      </c>
      <c r="C13" s="8" t="s">
        <v>100</v>
      </c>
      <c r="D13" s="8" t="s">
        <v>101</v>
      </c>
      <c r="E13" s="8" t="s">
        <v>48</v>
      </c>
      <c r="F13" s="8" t="s">
        <v>61</v>
      </c>
      <c r="G13" s="8" t="s">
        <v>49</v>
      </c>
      <c r="H13" s="8" t="s">
        <v>62</v>
      </c>
      <c r="I13" s="8" t="s">
        <v>102</v>
      </c>
      <c r="J13" s="8" t="s">
        <v>98</v>
      </c>
      <c r="K13" s="8" t="s">
        <v>58</v>
      </c>
      <c r="L13" s="9"/>
      <c r="M13" s="9"/>
      <c r="N13" s="10" t="str">
        <f aca="false">IF(OR(L13="",M13=""),"",L13*M13)</f>
        <v/>
      </c>
      <c r="O13" s="10" t="str">
        <f aca="false">IF(N13="","",IF(N13&gt;=8,"Alta",IF(N13&gt;=4,"Media","Baja")))</f>
        <v/>
      </c>
      <c r="P13" s="8" t="s">
        <v>58</v>
      </c>
      <c r="Q13" s="8" t="s">
        <v>58</v>
      </c>
      <c r="R13" s="8" t="s">
        <v>56</v>
      </c>
      <c r="S13" s="8" t="s">
        <v>103</v>
      </c>
    </row>
    <row r="14" customFormat="false" ht="22.35" hidden="false" customHeight="false" outlineLevel="0" collapsed="false">
      <c r="A14" s="8" t="s">
        <v>58</v>
      </c>
      <c r="B14" s="8" t="s">
        <v>45</v>
      </c>
      <c r="C14" s="8" t="s">
        <v>104</v>
      </c>
      <c r="D14" s="8" t="s">
        <v>105</v>
      </c>
      <c r="E14" s="8" t="s">
        <v>81</v>
      </c>
      <c r="F14" s="8" t="s">
        <v>49</v>
      </c>
      <c r="G14" s="8" t="s">
        <v>49</v>
      </c>
      <c r="H14" s="8" t="s">
        <v>106</v>
      </c>
      <c r="I14" s="8" t="s">
        <v>91</v>
      </c>
      <c r="J14" s="8" t="s">
        <v>56</v>
      </c>
      <c r="K14" s="8" t="s">
        <v>107</v>
      </c>
      <c r="L14" s="9"/>
      <c r="M14" s="9"/>
      <c r="N14" s="10" t="str">
        <f aca="false">IF(OR(L14="",M14=""),"",L14*M14)</f>
        <v/>
      </c>
      <c r="O14" s="10" t="str">
        <f aca="false">IF(N14="","",IF(N14&gt;=8,"Alta",IF(N14&gt;=4,"Media","Baja")))</f>
        <v/>
      </c>
      <c r="P14" s="8" t="s">
        <v>58</v>
      </c>
      <c r="Q14" s="8" t="s">
        <v>58</v>
      </c>
      <c r="R14" s="8" t="s">
        <v>56</v>
      </c>
      <c r="S14" s="8" t="s">
        <v>108</v>
      </c>
    </row>
    <row r="15" customFormat="false" ht="22.35" hidden="false" customHeight="false" outlineLevel="0" collapsed="false">
      <c r="A15" s="8" t="s">
        <v>109</v>
      </c>
      <c r="B15" s="8" t="s">
        <v>45</v>
      </c>
      <c r="C15" s="8" t="s">
        <v>110</v>
      </c>
      <c r="D15" s="8" t="s">
        <v>111</v>
      </c>
      <c r="E15" s="8" t="s">
        <v>81</v>
      </c>
      <c r="F15" s="8" t="s">
        <v>49</v>
      </c>
      <c r="G15" s="8" t="s">
        <v>49</v>
      </c>
      <c r="H15" s="8" t="s">
        <v>112</v>
      </c>
      <c r="I15" s="8" t="s">
        <v>102</v>
      </c>
      <c r="J15" s="8" t="s">
        <v>52</v>
      </c>
      <c r="K15" s="8" t="s">
        <v>113</v>
      </c>
      <c r="L15" s="9" t="n">
        <v>2</v>
      </c>
      <c r="M15" s="9" t="n">
        <v>2</v>
      </c>
      <c r="N15" s="10" t="n">
        <f aca="false">IF(OR(L15="",M15=""),"",L15*M15)</f>
        <v>4</v>
      </c>
      <c r="O15" s="10" t="str">
        <f aca="false">IF(N15="","",IF(N15&gt;=8,"Alta",IF(N15&gt;=4,"Media","Baja")))</f>
        <v>Media</v>
      </c>
      <c r="P15" s="8" t="s">
        <v>114</v>
      </c>
      <c r="Q15" s="8" t="s">
        <v>115</v>
      </c>
      <c r="R15" s="8" t="s">
        <v>56</v>
      </c>
      <c r="S15" s="8" t="s">
        <v>116</v>
      </c>
    </row>
    <row r="16" customFormat="false" ht="22.35" hidden="false" customHeight="false" outlineLevel="0" collapsed="false">
      <c r="A16" s="8" t="s">
        <v>58</v>
      </c>
      <c r="B16" s="8" t="s">
        <v>45</v>
      </c>
      <c r="C16" s="8" t="s">
        <v>117</v>
      </c>
      <c r="D16" s="8" t="s">
        <v>118</v>
      </c>
      <c r="E16" s="8" t="s">
        <v>48</v>
      </c>
      <c r="F16" s="8" t="s">
        <v>49</v>
      </c>
      <c r="G16" s="8" t="s">
        <v>49</v>
      </c>
      <c r="H16" s="8" t="s">
        <v>119</v>
      </c>
      <c r="I16" s="8" t="s">
        <v>120</v>
      </c>
      <c r="J16" s="8" t="s">
        <v>56</v>
      </c>
      <c r="K16" s="8" t="s">
        <v>121</v>
      </c>
      <c r="L16" s="9"/>
      <c r="M16" s="9"/>
      <c r="N16" s="10" t="str">
        <f aca="false">IF(OR(L16="",M16=""),"",L16*M16)</f>
        <v/>
      </c>
      <c r="O16" s="10" t="str">
        <f aca="false">IF(N16="","",IF(N16&gt;=8,"Alta",IF(N16&gt;=4,"Media","Baja")))</f>
        <v/>
      </c>
      <c r="P16" s="8" t="s">
        <v>122</v>
      </c>
      <c r="Q16" s="8" t="s">
        <v>72</v>
      </c>
      <c r="R16" s="8" t="s">
        <v>56</v>
      </c>
      <c r="S16" s="8" t="s">
        <v>123</v>
      </c>
    </row>
    <row r="17" customFormat="false" ht="22.35" hidden="false" customHeight="false" outlineLevel="0" collapsed="false">
      <c r="A17" s="8" t="s">
        <v>58</v>
      </c>
      <c r="B17" s="8" t="s">
        <v>45</v>
      </c>
      <c r="C17" s="8" t="s">
        <v>124</v>
      </c>
      <c r="D17" s="8" t="s">
        <v>125</v>
      </c>
      <c r="E17" s="8" t="s">
        <v>48</v>
      </c>
      <c r="F17" s="8" t="s">
        <v>61</v>
      </c>
      <c r="G17" s="8" t="s">
        <v>49</v>
      </c>
      <c r="H17" s="8" t="s">
        <v>62</v>
      </c>
      <c r="I17" s="8" t="s">
        <v>126</v>
      </c>
      <c r="J17" s="8" t="s">
        <v>98</v>
      </c>
      <c r="K17" s="8" t="s">
        <v>58</v>
      </c>
      <c r="L17" s="9"/>
      <c r="M17" s="9"/>
      <c r="N17" s="10" t="str">
        <f aca="false">IF(OR(L17="",M17=""),"",L17*M17)</f>
        <v/>
      </c>
      <c r="O17" s="10" t="str">
        <f aca="false">IF(N17="","",IF(N17&gt;=8,"Alta",IF(N17&gt;=4,"Media","Baja")))</f>
        <v/>
      </c>
      <c r="P17" s="8" t="s">
        <v>58</v>
      </c>
      <c r="Q17" s="8" t="s">
        <v>58</v>
      </c>
      <c r="R17" s="8" t="s">
        <v>56</v>
      </c>
      <c r="S17" s="8" t="s">
        <v>127</v>
      </c>
    </row>
    <row r="18" customFormat="false" ht="32.8" hidden="false" customHeight="false" outlineLevel="0" collapsed="false">
      <c r="A18" s="8" t="s">
        <v>128</v>
      </c>
      <c r="B18" s="8" t="s">
        <v>45</v>
      </c>
      <c r="C18" s="8" t="s">
        <v>129</v>
      </c>
      <c r="D18" s="8" t="s">
        <v>130</v>
      </c>
      <c r="E18" s="8" t="s">
        <v>81</v>
      </c>
      <c r="F18" s="8" t="s">
        <v>49</v>
      </c>
      <c r="G18" s="8" t="s">
        <v>49</v>
      </c>
      <c r="H18" s="8" t="s">
        <v>131</v>
      </c>
      <c r="I18" s="8" t="s">
        <v>132</v>
      </c>
      <c r="J18" s="8" t="s">
        <v>52</v>
      </c>
      <c r="K18" s="8" t="s">
        <v>133</v>
      </c>
      <c r="L18" s="9" t="n">
        <v>4</v>
      </c>
      <c r="M18" s="9" t="n">
        <v>3</v>
      </c>
      <c r="N18" s="10" t="n">
        <f aca="false">IF(OR(L18="",M18=""),"",L18*M18)</f>
        <v>12</v>
      </c>
      <c r="O18" s="10" t="str">
        <f aca="false">IF(N18="","",IF(N18&gt;=8,"Alta",IF(N18&gt;=4,"Media","Baja")))</f>
        <v>Alta</v>
      </c>
      <c r="P18" s="8" t="s">
        <v>134</v>
      </c>
      <c r="Q18" s="8" t="s">
        <v>135</v>
      </c>
      <c r="R18" s="8" t="s">
        <v>56</v>
      </c>
      <c r="S18" s="8" t="s">
        <v>136</v>
      </c>
    </row>
    <row r="19" customFormat="false" ht="22.35" hidden="false" customHeight="false" outlineLevel="0" collapsed="false">
      <c r="A19" s="8" t="s">
        <v>137</v>
      </c>
      <c r="B19" s="8" t="s">
        <v>45</v>
      </c>
      <c r="C19" s="8" t="s">
        <v>138</v>
      </c>
      <c r="D19" s="8" t="s">
        <v>139</v>
      </c>
      <c r="E19" s="8" t="s">
        <v>81</v>
      </c>
      <c r="F19" s="8" t="s">
        <v>49</v>
      </c>
      <c r="G19" s="8" t="s">
        <v>49</v>
      </c>
      <c r="H19" s="8" t="s">
        <v>140</v>
      </c>
      <c r="I19" s="8" t="s">
        <v>91</v>
      </c>
      <c r="J19" s="8" t="s">
        <v>69</v>
      </c>
      <c r="K19" s="8" t="s">
        <v>141</v>
      </c>
      <c r="L19" s="9" t="n">
        <v>2</v>
      </c>
      <c r="M19" s="9" t="n">
        <v>2</v>
      </c>
      <c r="N19" s="10" t="n">
        <f aca="false">IF(OR(L19="",M19=""),"",L19*M19)</f>
        <v>4</v>
      </c>
      <c r="O19" s="10" t="str">
        <f aca="false">IF(N19="","",IF(N19&gt;=8,"Alta",IF(N19&gt;=4,"Media","Baja")))</f>
        <v>Media</v>
      </c>
      <c r="P19" s="8" t="s">
        <v>142</v>
      </c>
      <c r="Q19" s="8" t="s">
        <v>143</v>
      </c>
      <c r="R19" s="8" t="s">
        <v>56</v>
      </c>
      <c r="S19" s="8" t="s">
        <v>144</v>
      </c>
    </row>
    <row r="20" customFormat="false" ht="22.35" hidden="false" customHeight="false" outlineLevel="0" collapsed="false">
      <c r="A20" s="8" t="s">
        <v>58</v>
      </c>
      <c r="B20" s="8" t="s">
        <v>45</v>
      </c>
      <c r="C20" s="8" t="s">
        <v>145</v>
      </c>
      <c r="D20" s="8" t="s">
        <v>146</v>
      </c>
      <c r="E20" s="8" t="s">
        <v>81</v>
      </c>
      <c r="F20" s="8" t="s">
        <v>61</v>
      </c>
      <c r="G20" s="8" t="s">
        <v>49</v>
      </c>
      <c r="H20" s="8" t="s">
        <v>62</v>
      </c>
      <c r="I20" s="8" t="s">
        <v>147</v>
      </c>
      <c r="J20" s="8" t="s">
        <v>69</v>
      </c>
      <c r="K20" s="8" t="s">
        <v>148</v>
      </c>
      <c r="L20" s="9"/>
      <c r="M20" s="9"/>
      <c r="N20" s="10" t="str">
        <f aca="false">IF(OR(L20="",M20=""),"",L20*M20)</f>
        <v/>
      </c>
      <c r="O20" s="10" t="str">
        <f aca="false">IF(N20="","",IF(N20&gt;=8,"Alta",IF(N20&gt;=4,"Media","Baja")))</f>
        <v/>
      </c>
      <c r="P20" s="8" t="s">
        <v>149</v>
      </c>
      <c r="Q20" s="8" t="s">
        <v>58</v>
      </c>
      <c r="R20" s="8" t="s">
        <v>69</v>
      </c>
      <c r="S20" s="8" t="s">
        <v>150</v>
      </c>
    </row>
    <row r="21" customFormat="false" ht="22.35" hidden="false" customHeight="false" outlineLevel="0" collapsed="false">
      <c r="A21" s="8" t="s">
        <v>137</v>
      </c>
      <c r="B21" s="8" t="s">
        <v>45</v>
      </c>
      <c r="C21" s="8" t="s">
        <v>151</v>
      </c>
      <c r="D21" s="8" t="s">
        <v>152</v>
      </c>
      <c r="E21" s="8" t="s">
        <v>81</v>
      </c>
      <c r="F21" s="8" t="s">
        <v>49</v>
      </c>
      <c r="G21" s="8" t="s">
        <v>49</v>
      </c>
      <c r="H21" s="8" t="s">
        <v>153</v>
      </c>
      <c r="I21" s="8" t="s">
        <v>91</v>
      </c>
      <c r="J21" s="8" t="s">
        <v>69</v>
      </c>
      <c r="K21" s="8" t="s">
        <v>154</v>
      </c>
      <c r="L21" s="9" t="n">
        <v>2</v>
      </c>
      <c r="M21" s="9" t="n">
        <v>2</v>
      </c>
      <c r="N21" s="10" t="n">
        <f aca="false">IF(OR(L21="",M21=""),"",L21*M21)</f>
        <v>4</v>
      </c>
      <c r="O21" s="10" t="str">
        <f aca="false">IF(N21="","",IF(N21&gt;=8,"Alta",IF(N21&gt;=4,"Media","Baja")))</f>
        <v>Media</v>
      </c>
      <c r="P21" s="8" t="s">
        <v>155</v>
      </c>
      <c r="Q21" s="8" t="s">
        <v>143</v>
      </c>
      <c r="R21" s="8" t="s">
        <v>56</v>
      </c>
      <c r="S21" s="8" t="s">
        <v>156</v>
      </c>
    </row>
    <row r="22" customFormat="false" ht="22.35" hidden="false" customHeight="false" outlineLevel="0" collapsed="false">
      <c r="A22" s="8" t="s">
        <v>157</v>
      </c>
      <c r="B22" s="8" t="s">
        <v>45</v>
      </c>
      <c r="C22" s="8" t="s">
        <v>158</v>
      </c>
      <c r="D22" s="8" t="s">
        <v>159</v>
      </c>
      <c r="E22" s="8" t="s">
        <v>81</v>
      </c>
      <c r="F22" s="8" t="s">
        <v>49</v>
      </c>
      <c r="G22" s="8" t="s">
        <v>49</v>
      </c>
      <c r="H22" s="8" t="s">
        <v>160</v>
      </c>
      <c r="I22" s="8" t="s">
        <v>91</v>
      </c>
      <c r="J22" s="8" t="s">
        <v>52</v>
      </c>
      <c r="K22" s="8" t="s">
        <v>161</v>
      </c>
      <c r="L22" s="9" t="n">
        <v>3</v>
      </c>
      <c r="M22" s="9" t="n">
        <v>3</v>
      </c>
      <c r="N22" s="10" t="n">
        <f aca="false">IF(OR(L22="",M22=""),"",L22*M22)</f>
        <v>9</v>
      </c>
      <c r="O22" s="10" t="str">
        <f aca="false">IF(N22="","",IF(N22&gt;=8,"Alta",IF(N22&gt;=4,"Media","Baja")))</f>
        <v>Alta</v>
      </c>
      <c r="P22" s="8" t="s">
        <v>162</v>
      </c>
      <c r="Q22" s="8" t="s">
        <v>163</v>
      </c>
      <c r="R22" s="8" t="s">
        <v>56</v>
      </c>
      <c r="S22" s="8" t="s">
        <v>164</v>
      </c>
    </row>
    <row r="23" customFormat="false" ht="22.35" hidden="false" customHeight="false" outlineLevel="0" collapsed="false">
      <c r="A23" s="8" t="s">
        <v>137</v>
      </c>
      <c r="B23" s="8" t="s">
        <v>45</v>
      </c>
      <c r="C23" s="8" t="s">
        <v>165</v>
      </c>
      <c r="D23" s="8" t="s">
        <v>166</v>
      </c>
      <c r="E23" s="8" t="s">
        <v>81</v>
      </c>
      <c r="F23" s="8" t="s">
        <v>49</v>
      </c>
      <c r="G23" s="8" t="s">
        <v>49</v>
      </c>
      <c r="H23" s="8" t="s">
        <v>167</v>
      </c>
      <c r="I23" s="8" t="s">
        <v>91</v>
      </c>
      <c r="J23" s="8" t="s">
        <v>69</v>
      </c>
      <c r="K23" s="8" t="s">
        <v>168</v>
      </c>
      <c r="L23" s="9" t="n">
        <v>2</v>
      </c>
      <c r="M23" s="9" t="n">
        <v>2</v>
      </c>
      <c r="N23" s="10" t="n">
        <f aca="false">IF(OR(L23="",M23=""),"",L23*M23)</f>
        <v>4</v>
      </c>
      <c r="O23" s="10" t="str">
        <f aca="false">IF(N23="","",IF(N23&gt;=8,"Alta",IF(N23&gt;=4,"Media","Baja")))</f>
        <v>Media</v>
      </c>
      <c r="P23" s="8" t="s">
        <v>169</v>
      </c>
      <c r="Q23" s="8" t="s">
        <v>143</v>
      </c>
      <c r="R23" s="8" t="s">
        <v>56</v>
      </c>
      <c r="S23" s="8" t="s">
        <v>170</v>
      </c>
    </row>
    <row r="24" customFormat="false" ht="22.35" hidden="false" customHeight="false" outlineLevel="0" collapsed="false">
      <c r="A24" s="8" t="s">
        <v>58</v>
      </c>
      <c r="B24" s="8" t="s">
        <v>45</v>
      </c>
      <c r="C24" s="8" t="s">
        <v>171</v>
      </c>
      <c r="D24" s="8" t="s">
        <v>172</v>
      </c>
      <c r="E24" s="8" t="s">
        <v>81</v>
      </c>
      <c r="F24" s="8" t="s">
        <v>49</v>
      </c>
      <c r="G24" s="8" t="s">
        <v>49</v>
      </c>
      <c r="H24" s="8" t="s">
        <v>62</v>
      </c>
      <c r="I24" s="8" t="s">
        <v>173</v>
      </c>
      <c r="J24" s="8" t="s">
        <v>56</v>
      </c>
      <c r="K24" s="8" t="s">
        <v>174</v>
      </c>
      <c r="L24" s="9"/>
      <c r="M24" s="9"/>
      <c r="N24" s="10" t="str">
        <f aca="false">IF(OR(L24="",M24=""),"",L24*M24)</f>
        <v/>
      </c>
      <c r="O24" s="10" t="str">
        <f aca="false">IF(N24="","",IF(N24&gt;=8,"Alta",IF(N24&gt;=4,"Media","Baja")))</f>
        <v/>
      </c>
      <c r="P24" s="8" t="s">
        <v>175</v>
      </c>
      <c r="Q24" s="8" t="s">
        <v>58</v>
      </c>
      <c r="R24" s="8" t="s">
        <v>56</v>
      </c>
      <c r="S24" s="8" t="s">
        <v>176</v>
      </c>
    </row>
    <row r="25" customFormat="false" ht="22.35" hidden="false" customHeight="false" outlineLevel="0" collapsed="false">
      <c r="A25" s="8" t="s">
        <v>177</v>
      </c>
      <c r="B25" s="8" t="s">
        <v>178</v>
      </c>
      <c r="C25" s="8" t="s">
        <v>179</v>
      </c>
      <c r="D25" s="8" t="s">
        <v>180</v>
      </c>
      <c r="E25" s="8" t="s">
        <v>48</v>
      </c>
      <c r="F25" s="8" t="s">
        <v>49</v>
      </c>
      <c r="G25" s="8" t="s">
        <v>49</v>
      </c>
      <c r="H25" s="8" t="s">
        <v>181</v>
      </c>
      <c r="I25" s="8" t="s">
        <v>182</v>
      </c>
      <c r="J25" s="8" t="s">
        <v>52</v>
      </c>
      <c r="K25" s="8" t="s">
        <v>183</v>
      </c>
      <c r="L25" s="9" t="n">
        <v>3</v>
      </c>
      <c r="M25" s="9" t="n">
        <v>2</v>
      </c>
      <c r="N25" s="10" t="n">
        <f aca="false">IF(OR(L25="",M25=""),"",L25*M25)</f>
        <v>6</v>
      </c>
      <c r="O25" s="10" t="str">
        <f aca="false">IF(N25="","",IF(N25&gt;=8,"Alta",IF(N25&gt;=4,"Media","Baja")))</f>
        <v>Media</v>
      </c>
      <c r="P25" s="8" t="s">
        <v>184</v>
      </c>
      <c r="Q25" s="8" t="s">
        <v>185</v>
      </c>
      <c r="R25" s="8" t="s">
        <v>56</v>
      </c>
      <c r="S25" s="8" t="s">
        <v>186</v>
      </c>
    </row>
    <row r="26" customFormat="false" ht="22.35" hidden="false" customHeight="false" outlineLevel="0" collapsed="false">
      <c r="A26" s="8" t="s">
        <v>58</v>
      </c>
      <c r="B26" s="8" t="s">
        <v>178</v>
      </c>
      <c r="C26" s="8" t="s">
        <v>187</v>
      </c>
      <c r="D26" s="8" t="s">
        <v>188</v>
      </c>
      <c r="E26" s="8" t="s">
        <v>48</v>
      </c>
      <c r="F26" s="8" t="s">
        <v>61</v>
      </c>
      <c r="G26" s="8" t="s">
        <v>49</v>
      </c>
      <c r="H26" s="8" t="s">
        <v>189</v>
      </c>
      <c r="I26" s="8" t="s">
        <v>91</v>
      </c>
      <c r="J26" s="8" t="s">
        <v>98</v>
      </c>
      <c r="K26" s="8" t="s">
        <v>58</v>
      </c>
      <c r="L26" s="9"/>
      <c r="M26" s="9"/>
      <c r="N26" s="10" t="str">
        <f aca="false">IF(OR(L26="",M26=""),"",L26*M26)</f>
        <v/>
      </c>
      <c r="O26" s="10" t="str">
        <f aca="false">IF(N26="","",IF(N26&gt;=8,"Alta",IF(N26&gt;=4,"Media","Baja")))</f>
        <v/>
      </c>
      <c r="P26" s="8" t="s">
        <v>58</v>
      </c>
      <c r="Q26" s="8" t="s">
        <v>58</v>
      </c>
      <c r="R26" s="8" t="s">
        <v>56</v>
      </c>
      <c r="S26" s="8" t="s">
        <v>190</v>
      </c>
    </row>
    <row r="27" customFormat="false" ht="15" hidden="false" customHeight="false" outlineLevel="0" collapsed="false">
      <c r="A27" s="8" t="s">
        <v>58</v>
      </c>
      <c r="B27" s="8" t="s">
        <v>178</v>
      </c>
      <c r="C27" s="8" t="s">
        <v>191</v>
      </c>
      <c r="D27" s="8" t="s">
        <v>192</v>
      </c>
      <c r="E27" s="8" t="s">
        <v>48</v>
      </c>
      <c r="F27" s="8" t="s">
        <v>61</v>
      </c>
      <c r="G27" s="8" t="s">
        <v>49</v>
      </c>
      <c r="H27" s="8" t="s">
        <v>62</v>
      </c>
      <c r="I27" s="8" t="s">
        <v>193</v>
      </c>
      <c r="J27" s="8" t="s">
        <v>64</v>
      </c>
      <c r="K27" s="8" t="s">
        <v>194</v>
      </c>
      <c r="L27" s="9"/>
      <c r="M27" s="9"/>
      <c r="N27" s="10" t="str">
        <f aca="false">IF(OR(L27="",M27=""),"",L27*M27)</f>
        <v/>
      </c>
      <c r="O27" s="10" t="str">
        <f aca="false">IF(N27="","",IF(N27&gt;=8,"Alta",IF(N27&gt;=4,"Media","Baja")))</f>
        <v/>
      </c>
      <c r="P27" s="8" t="s">
        <v>58</v>
      </c>
      <c r="Q27" s="8" t="s">
        <v>58</v>
      </c>
      <c r="R27" s="8" t="s">
        <v>56</v>
      </c>
      <c r="S27" s="8" t="s">
        <v>195</v>
      </c>
    </row>
    <row r="28" customFormat="false" ht="15" hidden="false" customHeight="false" outlineLevel="0" collapsed="false">
      <c r="A28" s="8" t="s">
        <v>58</v>
      </c>
      <c r="B28" s="8" t="s">
        <v>178</v>
      </c>
      <c r="C28" s="8" t="s">
        <v>196</v>
      </c>
      <c r="D28" s="8" t="s">
        <v>197</v>
      </c>
      <c r="E28" s="8" t="s">
        <v>48</v>
      </c>
      <c r="F28" s="8" t="s">
        <v>49</v>
      </c>
      <c r="G28" s="8" t="s">
        <v>49</v>
      </c>
      <c r="H28" s="8" t="s">
        <v>62</v>
      </c>
      <c r="I28" s="8" t="s">
        <v>102</v>
      </c>
      <c r="J28" s="8" t="s">
        <v>56</v>
      </c>
      <c r="K28" s="8" t="s">
        <v>198</v>
      </c>
      <c r="L28" s="9"/>
      <c r="M28" s="9"/>
      <c r="N28" s="10" t="str">
        <f aca="false">IF(OR(L28="",M28=""),"",L28*M28)</f>
        <v/>
      </c>
      <c r="O28" s="10" t="str">
        <f aca="false">IF(N28="","",IF(N28&gt;=8,"Alta",IF(N28&gt;=4,"Media","Baja")))</f>
        <v/>
      </c>
      <c r="P28" s="8" t="s">
        <v>199</v>
      </c>
      <c r="Q28" s="8" t="s">
        <v>200</v>
      </c>
      <c r="R28" s="8" t="s">
        <v>56</v>
      </c>
      <c r="S28" s="8" t="s">
        <v>201</v>
      </c>
    </row>
    <row r="29" customFormat="false" ht="22.35" hidden="false" customHeight="false" outlineLevel="0" collapsed="false">
      <c r="A29" s="8" t="s">
        <v>202</v>
      </c>
      <c r="B29" s="8" t="s">
        <v>178</v>
      </c>
      <c r="C29" s="8" t="s">
        <v>203</v>
      </c>
      <c r="D29" s="8" t="s">
        <v>204</v>
      </c>
      <c r="E29" s="8" t="s">
        <v>48</v>
      </c>
      <c r="F29" s="8" t="s">
        <v>61</v>
      </c>
      <c r="G29" s="8" t="s">
        <v>49</v>
      </c>
      <c r="H29" s="8" t="s">
        <v>62</v>
      </c>
      <c r="I29" s="8" t="s">
        <v>126</v>
      </c>
      <c r="J29" s="8" t="s">
        <v>52</v>
      </c>
      <c r="K29" s="8" t="s">
        <v>205</v>
      </c>
      <c r="L29" s="9" t="n">
        <v>3</v>
      </c>
      <c r="M29" s="9" t="n">
        <v>2</v>
      </c>
      <c r="N29" s="10" t="n">
        <f aca="false">IF(OR(L29="",M29=""),"",L29*M29)</f>
        <v>6</v>
      </c>
      <c r="O29" s="10" t="str">
        <f aca="false">IF(N29="","",IF(N29&gt;=8,"Alta",IF(N29&gt;=4,"Media","Baja")))</f>
        <v>Media</v>
      </c>
      <c r="P29" s="8" t="s">
        <v>206</v>
      </c>
      <c r="Q29" s="8" t="s">
        <v>207</v>
      </c>
      <c r="R29" s="8" t="s">
        <v>56</v>
      </c>
      <c r="S29" s="8" t="s">
        <v>208</v>
      </c>
    </row>
    <row r="30" customFormat="false" ht="22.35" hidden="false" customHeight="false" outlineLevel="0" collapsed="false">
      <c r="A30" s="8" t="s">
        <v>58</v>
      </c>
      <c r="B30" s="8" t="s">
        <v>178</v>
      </c>
      <c r="C30" s="8" t="s">
        <v>209</v>
      </c>
      <c r="D30" s="8" t="s">
        <v>210</v>
      </c>
      <c r="E30" s="8" t="s">
        <v>48</v>
      </c>
      <c r="F30" s="8" t="s">
        <v>61</v>
      </c>
      <c r="G30" s="8" t="s">
        <v>49</v>
      </c>
      <c r="H30" s="8" t="s">
        <v>62</v>
      </c>
      <c r="I30" s="8" t="s">
        <v>91</v>
      </c>
      <c r="J30" s="8" t="s">
        <v>98</v>
      </c>
      <c r="K30" s="8" t="s">
        <v>58</v>
      </c>
      <c r="L30" s="9"/>
      <c r="M30" s="9"/>
      <c r="N30" s="10" t="str">
        <f aca="false">IF(OR(L30="",M30=""),"",L30*M30)</f>
        <v/>
      </c>
      <c r="O30" s="10" t="str">
        <f aca="false">IF(N30="","",IF(N30&gt;=8,"Alta",IF(N30&gt;=4,"Media","Baja")))</f>
        <v/>
      </c>
      <c r="P30" s="8" t="s">
        <v>58</v>
      </c>
      <c r="Q30" s="8" t="s">
        <v>58</v>
      </c>
      <c r="R30" s="8" t="s">
        <v>56</v>
      </c>
      <c r="S30" s="8" t="s">
        <v>211</v>
      </c>
    </row>
    <row r="31" customFormat="false" ht="15" hidden="false" customHeight="false" outlineLevel="0" collapsed="false">
      <c r="A31" s="8" t="s">
        <v>58</v>
      </c>
      <c r="B31" s="8" t="s">
        <v>178</v>
      </c>
      <c r="C31" s="8" t="s">
        <v>212</v>
      </c>
      <c r="D31" s="8" t="s">
        <v>213</v>
      </c>
      <c r="E31" s="8" t="s">
        <v>48</v>
      </c>
      <c r="F31" s="8" t="s">
        <v>61</v>
      </c>
      <c r="G31" s="8" t="s">
        <v>49</v>
      </c>
      <c r="H31" s="8" t="s">
        <v>189</v>
      </c>
      <c r="I31" s="8" t="s">
        <v>91</v>
      </c>
      <c r="J31" s="8" t="s">
        <v>56</v>
      </c>
      <c r="K31" s="8" t="s">
        <v>214</v>
      </c>
      <c r="L31" s="9"/>
      <c r="M31" s="9"/>
      <c r="N31" s="10" t="str">
        <f aca="false">IF(OR(L31="",M31=""),"",L31*M31)</f>
        <v/>
      </c>
      <c r="O31" s="10" t="str">
        <f aca="false">IF(N31="","",IF(N31&gt;=8,"Alta",IF(N31&gt;=4,"Media","Baja")))</f>
        <v/>
      </c>
      <c r="P31" s="8" t="s">
        <v>58</v>
      </c>
      <c r="Q31" s="8" t="s">
        <v>58</v>
      </c>
      <c r="R31" s="8" t="s">
        <v>56</v>
      </c>
      <c r="S31" s="8" t="s">
        <v>215</v>
      </c>
    </row>
    <row r="32" customFormat="false" ht="22.35" hidden="false" customHeight="false" outlineLevel="0" collapsed="false">
      <c r="A32" s="8" t="s">
        <v>58</v>
      </c>
      <c r="B32" s="8" t="s">
        <v>178</v>
      </c>
      <c r="C32" s="8" t="s">
        <v>216</v>
      </c>
      <c r="D32" s="8" t="s">
        <v>217</v>
      </c>
      <c r="E32" s="8" t="s">
        <v>48</v>
      </c>
      <c r="F32" s="8" t="s">
        <v>61</v>
      </c>
      <c r="G32" s="8" t="s">
        <v>49</v>
      </c>
      <c r="H32" s="8" t="s">
        <v>218</v>
      </c>
      <c r="I32" s="8" t="s">
        <v>91</v>
      </c>
      <c r="J32" s="8" t="s">
        <v>98</v>
      </c>
      <c r="K32" s="8" t="s">
        <v>58</v>
      </c>
      <c r="L32" s="9"/>
      <c r="M32" s="9"/>
      <c r="N32" s="10" t="str">
        <f aca="false">IF(OR(L32="",M32=""),"",L32*M32)</f>
        <v/>
      </c>
      <c r="O32" s="10" t="str">
        <f aca="false">IF(N32="","",IF(N32&gt;=8,"Alta",IF(N32&gt;=4,"Media","Baja")))</f>
        <v/>
      </c>
      <c r="P32" s="8" t="s">
        <v>58</v>
      </c>
      <c r="Q32" s="8" t="s">
        <v>58</v>
      </c>
      <c r="R32" s="8" t="s">
        <v>56</v>
      </c>
      <c r="S32" s="8" t="s">
        <v>219</v>
      </c>
    </row>
    <row r="33" customFormat="false" ht="22.35" hidden="false" customHeight="false" outlineLevel="0" collapsed="false">
      <c r="A33" s="8" t="s">
        <v>58</v>
      </c>
      <c r="B33" s="8" t="s">
        <v>178</v>
      </c>
      <c r="C33" s="8" t="s">
        <v>220</v>
      </c>
      <c r="D33" s="8" t="s">
        <v>221</v>
      </c>
      <c r="E33" s="8" t="s">
        <v>48</v>
      </c>
      <c r="F33" s="8" t="s">
        <v>49</v>
      </c>
      <c r="G33" s="8" t="s">
        <v>49</v>
      </c>
      <c r="H33" s="8" t="s">
        <v>222</v>
      </c>
      <c r="I33" s="8" t="s">
        <v>102</v>
      </c>
      <c r="J33" s="8" t="s">
        <v>56</v>
      </c>
      <c r="K33" s="8" t="s">
        <v>223</v>
      </c>
      <c r="L33" s="9"/>
      <c r="M33" s="9"/>
      <c r="N33" s="10" t="str">
        <f aca="false">IF(OR(L33="",M33=""),"",L33*M33)</f>
        <v/>
      </c>
      <c r="O33" s="10" t="str">
        <f aca="false">IF(N33="","",IF(N33&gt;=8,"Alta",IF(N33&gt;=4,"Media","Baja")))</f>
        <v/>
      </c>
      <c r="P33" s="8" t="s">
        <v>184</v>
      </c>
      <c r="Q33" s="8" t="s">
        <v>185</v>
      </c>
      <c r="R33" s="8" t="s">
        <v>56</v>
      </c>
      <c r="S33" s="8" t="s">
        <v>224</v>
      </c>
    </row>
    <row r="34" customFormat="false" ht="15" hidden="false" customHeight="false" outlineLevel="0" collapsed="false">
      <c r="A34" s="8" t="s">
        <v>225</v>
      </c>
      <c r="B34" s="8" t="s">
        <v>178</v>
      </c>
      <c r="C34" s="8" t="s">
        <v>226</v>
      </c>
      <c r="D34" s="8" t="s">
        <v>227</v>
      </c>
      <c r="E34" s="8" t="s">
        <v>48</v>
      </c>
      <c r="F34" s="8" t="s">
        <v>61</v>
      </c>
      <c r="G34" s="8" t="s">
        <v>49</v>
      </c>
      <c r="H34" s="8" t="s">
        <v>50</v>
      </c>
      <c r="I34" s="8" t="s">
        <v>228</v>
      </c>
      <c r="J34" s="8" t="s">
        <v>52</v>
      </c>
      <c r="K34" s="8" t="s">
        <v>229</v>
      </c>
      <c r="L34" s="9" t="n">
        <v>2</v>
      </c>
      <c r="M34" s="9" t="n">
        <v>2</v>
      </c>
      <c r="N34" s="10" t="n">
        <f aca="false">IF(OR(L34="",M34=""),"",L34*M34)</f>
        <v>4</v>
      </c>
      <c r="O34" s="10" t="str">
        <f aca="false">IF(N34="","",IF(N34&gt;=8,"Alta",IF(N34&gt;=4,"Media","Baja")))</f>
        <v>Media</v>
      </c>
      <c r="P34" s="8" t="s">
        <v>77</v>
      </c>
      <c r="Q34" s="8" t="s">
        <v>230</v>
      </c>
      <c r="R34" s="8" t="s">
        <v>56</v>
      </c>
      <c r="S34" s="8" t="s">
        <v>231</v>
      </c>
    </row>
    <row r="35" customFormat="false" ht="22.35" hidden="false" customHeight="false" outlineLevel="0" collapsed="false">
      <c r="A35" s="8" t="s">
        <v>58</v>
      </c>
      <c r="B35" s="8" t="s">
        <v>178</v>
      </c>
      <c r="C35" s="8" t="s">
        <v>232</v>
      </c>
      <c r="D35" s="8" t="s">
        <v>233</v>
      </c>
      <c r="E35" s="8" t="s">
        <v>81</v>
      </c>
      <c r="F35" s="8" t="s">
        <v>61</v>
      </c>
      <c r="G35" s="8" t="s">
        <v>49</v>
      </c>
      <c r="H35" s="8" t="s">
        <v>62</v>
      </c>
      <c r="I35" s="8" t="s">
        <v>91</v>
      </c>
      <c r="J35" s="8" t="s">
        <v>98</v>
      </c>
      <c r="K35" s="8" t="s">
        <v>58</v>
      </c>
      <c r="L35" s="9"/>
      <c r="M35" s="9"/>
      <c r="N35" s="10" t="str">
        <f aca="false">IF(OR(L35="",M35=""),"",L35*M35)</f>
        <v/>
      </c>
      <c r="O35" s="10" t="str">
        <f aca="false">IF(N35="","",IF(N35&gt;=8,"Alta",IF(N35&gt;=4,"Media","Baja")))</f>
        <v/>
      </c>
      <c r="P35" s="8" t="s">
        <v>58</v>
      </c>
      <c r="Q35" s="8" t="s">
        <v>58</v>
      </c>
      <c r="R35" s="8" t="s">
        <v>56</v>
      </c>
      <c r="S35" s="8" t="s">
        <v>234</v>
      </c>
    </row>
    <row r="36" customFormat="false" ht="15" hidden="false" customHeight="false" outlineLevel="0" collapsed="false">
      <c r="A36" s="8" t="s">
        <v>87</v>
      </c>
      <c r="B36" s="8" t="s">
        <v>178</v>
      </c>
      <c r="C36" s="8" t="s">
        <v>235</v>
      </c>
      <c r="D36" s="8" t="s">
        <v>236</v>
      </c>
      <c r="E36" s="8" t="s">
        <v>81</v>
      </c>
      <c r="F36" s="8" t="s">
        <v>61</v>
      </c>
      <c r="G36" s="8" t="s">
        <v>49</v>
      </c>
      <c r="H36" s="8" t="s">
        <v>62</v>
      </c>
      <c r="I36" s="8" t="s">
        <v>91</v>
      </c>
      <c r="J36" s="8" t="s">
        <v>69</v>
      </c>
      <c r="K36" s="8" t="s">
        <v>237</v>
      </c>
      <c r="L36" s="9" t="n">
        <v>3</v>
      </c>
      <c r="M36" s="9" t="n">
        <v>3</v>
      </c>
      <c r="N36" s="10" t="n">
        <f aca="false">IF(OR(L36="",M36=""),"",L36*M36)</f>
        <v>9</v>
      </c>
      <c r="O36" s="10" t="str">
        <f aca="false">IF(N36="","",IF(N36&gt;=8,"Alta",IF(N36&gt;=4,"Media","Baja")))</f>
        <v>Alta</v>
      </c>
      <c r="P36" s="8" t="s">
        <v>238</v>
      </c>
      <c r="Q36" s="8" t="s">
        <v>55</v>
      </c>
      <c r="R36" s="8" t="s">
        <v>56</v>
      </c>
      <c r="S36" s="8" t="s">
        <v>239</v>
      </c>
    </row>
    <row r="37" customFormat="false" ht="22.35" hidden="false" customHeight="false" outlineLevel="0" collapsed="false">
      <c r="A37" s="8" t="s">
        <v>157</v>
      </c>
      <c r="B37" s="8" t="s">
        <v>178</v>
      </c>
      <c r="C37" s="8" t="s">
        <v>240</v>
      </c>
      <c r="D37" s="8" t="s">
        <v>241</v>
      </c>
      <c r="E37" s="8" t="s">
        <v>81</v>
      </c>
      <c r="F37" s="8" t="s">
        <v>49</v>
      </c>
      <c r="G37" s="8" t="s">
        <v>49</v>
      </c>
      <c r="H37" s="8" t="s">
        <v>242</v>
      </c>
      <c r="I37" s="8" t="s">
        <v>91</v>
      </c>
      <c r="J37" s="8" t="s">
        <v>69</v>
      </c>
      <c r="K37" s="8" t="s">
        <v>243</v>
      </c>
      <c r="L37" s="9" t="n">
        <v>3</v>
      </c>
      <c r="M37" s="9" t="n">
        <v>3</v>
      </c>
      <c r="N37" s="10" t="n">
        <f aca="false">IF(OR(L37="",M37=""),"",L37*M37)</f>
        <v>9</v>
      </c>
      <c r="O37" s="10" t="str">
        <f aca="false">IF(N37="","",IF(N37&gt;=8,"Alta",IF(N37&gt;=4,"Media","Baja")))</f>
        <v>Alta</v>
      </c>
      <c r="P37" s="8" t="s">
        <v>244</v>
      </c>
      <c r="Q37" s="8" t="s">
        <v>245</v>
      </c>
      <c r="R37" s="8" t="s">
        <v>56</v>
      </c>
      <c r="S37" s="8" t="s">
        <v>246</v>
      </c>
    </row>
    <row r="38" customFormat="false" ht="22.35" hidden="false" customHeight="false" outlineLevel="0" collapsed="false">
      <c r="A38" s="8" t="s">
        <v>58</v>
      </c>
      <c r="B38" s="8" t="s">
        <v>178</v>
      </c>
      <c r="C38" s="8" t="s">
        <v>247</v>
      </c>
      <c r="D38" s="8" t="s">
        <v>248</v>
      </c>
      <c r="E38" s="8" t="s">
        <v>48</v>
      </c>
      <c r="F38" s="8" t="s">
        <v>49</v>
      </c>
      <c r="G38" s="8" t="s">
        <v>49</v>
      </c>
      <c r="H38" s="8" t="s">
        <v>62</v>
      </c>
      <c r="I38" s="8" t="s">
        <v>126</v>
      </c>
      <c r="J38" s="8" t="s">
        <v>56</v>
      </c>
      <c r="K38" s="8" t="s">
        <v>249</v>
      </c>
      <c r="L38" s="9"/>
      <c r="M38" s="9"/>
      <c r="N38" s="10" t="str">
        <f aca="false">IF(OR(L38="",M38=""),"",L38*M38)</f>
        <v/>
      </c>
      <c r="O38" s="10" t="str">
        <f aca="false">IF(N38="","",IF(N38&gt;=8,"Alta",IF(N38&gt;=4,"Media","Baja")))</f>
        <v/>
      </c>
      <c r="P38" s="8" t="s">
        <v>250</v>
      </c>
      <c r="Q38" s="8" t="s">
        <v>58</v>
      </c>
      <c r="R38" s="8" t="s">
        <v>56</v>
      </c>
      <c r="S38" s="8" t="s">
        <v>251</v>
      </c>
    </row>
    <row r="39" customFormat="false" ht="22.35" hidden="false" customHeight="false" outlineLevel="0" collapsed="false">
      <c r="A39" s="8" t="s">
        <v>58</v>
      </c>
      <c r="B39" s="8" t="s">
        <v>178</v>
      </c>
      <c r="C39" s="8" t="s">
        <v>252</v>
      </c>
      <c r="D39" s="8" t="s">
        <v>253</v>
      </c>
      <c r="E39" s="8" t="s">
        <v>48</v>
      </c>
      <c r="F39" s="8" t="s">
        <v>61</v>
      </c>
      <c r="G39" s="8" t="s">
        <v>49</v>
      </c>
      <c r="H39" s="8" t="s">
        <v>62</v>
      </c>
      <c r="I39" s="8" t="s">
        <v>91</v>
      </c>
      <c r="J39" s="8" t="s">
        <v>98</v>
      </c>
      <c r="K39" s="8" t="s">
        <v>58</v>
      </c>
      <c r="L39" s="9"/>
      <c r="M39" s="9"/>
      <c r="N39" s="10" t="str">
        <f aca="false">IF(OR(L39="",M39=""),"",L39*M39)</f>
        <v/>
      </c>
      <c r="O39" s="10" t="str">
        <f aca="false">IF(N39="","",IF(N39&gt;=8,"Alta",IF(N39&gt;=4,"Media","Baja")))</f>
        <v/>
      </c>
      <c r="P39" s="8" t="s">
        <v>58</v>
      </c>
      <c r="Q39" s="8" t="s">
        <v>58</v>
      </c>
      <c r="R39" s="8" t="s">
        <v>56</v>
      </c>
      <c r="S39" s="8" t="s">
        <v>254</v>
      </c>
    </row>
    <row r="40" customFormat="false" ht="22.35" hidden="false" customHeight="false" outlineLevel="0" collapsed="false">
      <c r="A40" s="8" t="s">
        <v>58</v>
      </c>
      <c r="B40" s="8" t="s">
        <v>178</v>
      </c>
      <c r="C40" s="8" t="s">
        <v>255</v>
      </c>
      <c r="D40" s="8" t="s">
        <v>256</v>
      </c>
      <c r="E40" s="8" t="s">
        <v>48</v>
      </c>
      <c r="F40" s="8" t="s">
        <v>49</v>
      </c>
      <c r="G40" s="8" t="s">
        <v>49</v>
      </c>
      <c r="H40" s="8" t="s">
        <v>257</v>
      </c>
      <c r="I40" s="8" t="s">
        <v>91</v>
      </c>
      <c r="J40" s="8" t="s">
        <v>56</v>
      </c>
      <c r="K40" s="8" t="s">
        <v>258</v>
      </c>
      <c r="L40" s="9"/>
      <c r="M40" s="9"/>
      <c r="N40" s="10" t="str">
        <f aca="false">IF(OR(L40="",M40=""),"",L40*M40)</f>
        <v/>
      </c>
      <c r="O40" s="10" t="str">
        <f aca="false">IF(N40="","",IF(N40&gt;=8,"Alta",IF(N40&gt;=4,"Media","Baja")))</f>
        <v/>
      </c>
      <c r="P40" s="8" t="s">
        <v>259</v>
      </c>
      <c r="Q40" s="8" t="s">
        <v>260</v>
      </c>
      <c r="R40" s="8" t="s">
        <v>56</v>
      </c>
      <c r="S40" s="8" t="s">
        <v>261</v>
      </c>
    </row>
    <row r="41" customFormat="false" ht="22.35" hidden="false" customHeight="false" outlineLevel="0" collapsed="false">
      <c r="A41" s="8" t="s">
        <v>58</v>
      </c>
      <c r="B41" s="8" t="s">
        <v>178</v>
      </c>
      <c r="C41" s="8" t="s">
        <v>262</v>
      </c>
      <c r="D41" s="8" t="s">
        <v>263</v>
      </c>
      <c r="E41" s="8" t="s">
        <v>48</v>
      </c>
      <c r="F41" s="8" t="s">
        <v>61</v>
      </c>
      <c r="G41" s="8" t="s">
        <v>61</v>
      </c>
      <c r="H41" s="8" t="s">
        <v>62</v>
      </c>
      <c r="I41" s="8" t="s">
        <v>264</v>
      </c>
      <c r="J41" s="8" t="s">
        <v>64</v>
      </c>
      <c r="K41" s="8" t="s">
        <v>58</v>
      </c>
      <c r="L41" s="9"/>
      <c r="M41" s="9"/>
      <c r="N41" s="10" t="str">
        <f aca="false">IF(OR(L41="",M41=""),"",L41*M41)</f>
        <v/>
      </c>
      <c r="O41" s="10" t="str">
        <f aca="false">IF(N41="","",IF(N41&gt;=8,"Alta",IF(N41&gt;=4,"Media","Baja")))</f>
        <v/>
      </c>
      <c r="P41" s="8" t="s">
        <v>58</v>
      </c>
      <c r="Q41" s="8" t="s">
        <v>58</v>
      </c>
      <c r="R41" s="8" t="s">
        <v>64</v>
      </c>
      <c r="S41" s="8" t="s">
        <v>58</v>
      </c>
    </row>
    <row r="42" customFormat="false" ht="15" hidden="false" customHeight="false" outlineLevel="0" collapsed="false">
      <c r="A42" s="8" t="s">
        <v>58</v>
      </c>
      <c r="B42" s="8" t="s">
        <v>265</v>
      </c>
      <c r="C42" s="8" t="s">
        <v>266</v>
      </c>
      <c r="D42" s="8" t="s">
        <v>267</v>
      </c>
      <c r="E42" s="8" t="s">
        <v>48</v>
      </c>
      <c r="F42" s="8" t="s">
        <v>49</v>
      </c>
      <c r="G42" s="8" t="s">
        <v>49</v>
      </c>
      <c r="H42" s="8" t="s">
        <v>218</v>
      </c>
      <c r="I42" s="8" t="s">
        <v>91</v>
      </c>
      <c r="J42" s="8" t="s">
        <v>56</v>
      </c>
      <c r="K42" s="8" t="s">
        <v>268</v>
      </c>
      <c r="L42" s="9"/>
      <c r="M42" s="9"/>
      <c r="N42" s="10" t="str">
        <f aca="false">IF(OR(L42="",M42=""),"",L42*M42)</f>
        <v/>
      </c>
      <c r="O42" s="10" t="str">
        <f aca="false">IF(N42="","",IF(N42&gt;=8,"Alta",IF(N42&gt;=4,"Media","Baja")))</f>
        <v/>
      </c>
      <c r="P42" s="8" t="s">
        <v>269</v>
      </c>
      <c r="Q42" s="8" t="s">
        <v>58</v>
      </c>
      <c r="R42" s="8" t="s">
        <v>56</v>
      </c>
      <c r="S42" s="8" t="s">
        <v>270</v>
      </c>
    </row>
    <row r="43" customFormat="false" ht="15" hidden="false" customHeight="false" outlineLevel="0" collapsed="false">
      <c r="A43" s="8" t="s">
        <v>271</v>
      </c>
      <c r="B43" s="8" t="s">
        <v>265</v>
      </c>
      <c r="C43" s="8" t="s">
        <v>272</v>
      </c>
      <c r="D43" s="8" t="s">
        <v>273</v>
      </c>
      <c r="E43" s="8" t="s">
        <v>81</v>
      </c>
      <c r="F43" s="8" t="s">
        <v>61</v>
      </c>
      <c r="G43" s="8" t="s">
        <v>49</v>
      </c>
      <c r="H43" s="8" t="s">
        <v>62</v>
      </c>
      <c r="I43" s="8" t="s">
        <v>274</v>
      </c>
      <c r="J43" s="8" t="s">
        <v>52</v>
      </c>
      <c r="K43" s="8" t="s">
        <v>275</v>
      </c>
      <c r="L43" s="9" t="n">
        <v>2</v>
      </c>
      <c r="M43" s="9" t="n">
        <v>3</v>
      </c>
      <c r="N43" s="10" t="n">
        <f aca="false">IF(OR(L43="",M43=""),"",L43*M43)</f>
        <v>6</v>
      </c>
      <c r="O43" s="10" t="str">
        <f aca="false">IF(N43="","",IF(N43&gt;=8,"Alta",IF(N43&gt;=4,"Media","Baja")))</f>
        <v>Media</v>
      </c>
      <c r="P43" s="8" t="s">
        <v>238</v>
      </c>
      <c r="Q43" s="8" t="s">
        <v>230</v>
      </c>
      <c r="R43" s="8" t="s">
        <v>56</v>
      </c>
      <c r="S43" s="8" t="s">
        <v>276</v>
      </c>
    </row>
    <row r="44" customFormat="false" ht="22.35" hidden="false" customHeight="false" outlineLevel="0" collapsed="false">
      <c r="A44" s="8" t="s">
        <v>58</v>
      </c>
      <c r="B44" s="8" t="s">
        <v>265</v>
      </c>
      <c r="C44" s="8" t="s">
        <v>277</v>
      </c>
      <c r="D44" s="8" t="s">
        <v>278</v>
      </c>
      <c r="E44" s="8" t="s">
        <v>48</v>
      </c>
      <c r="F44" s="8" t="s">
        <v>61</v>
      </c>
      <c r="G44" s="8" t="s">
        <v>49</v>
      </c>
      <c r="H44" s="8" t="s">
        <v>189</v>
      </c>
      <c r="I44" s="8" t="s">
        <v>91</v>
      </c>
      <c r="J44" s="8" t="s">
        <v>98</v>
      </c>
      <c r="K44" s="8" t="s">
        <v>58</v>
      </c>
      <c r="L44" s="9"/>
      <c r="M44" s="9"/>
      <c r="N44" s="10" t="str">
        <f aca="false">IF(OR(L44="",M44=""),"",L44*M44)</f>
        <v/>
      </c>
      <c r="O44" s="10" t="str">
        <f aca="false">IF(N44="","",IF(N44&gt;=8,"Alta",IF(N44&gt;=4,"Media","Baja")))</f>
        <v/>
      </c>
      <c r="P44" s="8" t="s">
        <v>58</v>
      </c>
      <c r="Q44" s="8" t="s">
        <v>58</v>
      </c>
      <c r="R44" s="8" t="s">
        <v>56</v>
      </c>
      <c r="S44" s="8" t="s">
        <v>279</v>
      </c>
    </row>
    <row r="45" customFormat="false" ht="22.35" hidden="false" customHeight="false" outlineLevel="0" collapsed="false">
      <c r="A45" s="8" t="s">
        <v>58</v>
      </c>
      <c r="B45" s="8" t="s">
        <v>265</v>
      </c>
      <c r="C45" s="8" t="s">
        <v>280</v>
      </c>
      <c r="D45" s="8" t="s">
        <v>281</v>
      </c>
      <c r="E45" s="8" t="s">
        <v>48</v>
      </c>
      <c r="F45" s="8" t="s">
        <v>61</v>
      </c>
      <c r="G45" s="8" t="s">
        <v>49</v>
      </c>
      <c r="H45" s="8" t="s">
        <v>62</v>
      </c>
      <c r="I45" s="8" t="s">
        <v>282</v>
      </c>
      <c r="J45" s="8" t="s">
        <v>98</v>
      </c>
      <c r="K45" s="8" t="s">
        <v>58</v>
      </c>
      <c r="L45" s="9"/>
      <c r="M45" s="9"/>
      <c r="N45" s="10" t="str">
        <f aca="false">IF(OR(L45="",M45=""),"",L45*M45)</f>
        <v/>
      </c>
      <c r="O45" s="10" t="str">
        <f aca="false">IF(N45="","",IF(N45&gt;=8,"Alta",IF(N45&gt;=4,"Media","Baja")))</f>
        <v/>
      </c>
      <c r="P45" s="8" t="s">
        <v>58</v>
      </c>
      <c r="Q45" s="8" t="s">
        <v>58</v>
      </c>
      <c r="R45" s="8" t="s">
        <v>56</v>
      </c>
      <c r="S45" s="8" t="s">
        <v>283</v>
      </c>
    </row>
    <row r="46" customFormat="false" ht="15" hidden="false" customHeight="false" outlineLevel="0" collapsed="false">
      <c r="A46" s="8" t="s">
        <v>58</v>
      </c>
      <c r="B46" s="8" t="s">
        <v>265</v>
      </c>
      <c r="C46" s="8" t="s">
        <v>284</v>
      </c>
      <c r="D46" s="8" t="s">
        <v>285</v>
      </c>
      <c r="E46" s="8" t="s">
        <v>81</v>
      </c>
      <c r="F46" s="8" t="s">
        <v>49</v>
      </c>
      <c r="G46" s="8" t="s">
        <v>49</v>
      </c>
      <c r="H46" s="8" t="s">
        <v>62</v>
      </c>
      <c r="I46" s="8" t="s">
        <v>91</v>
      </c>
      <c r="J46" s="8" t="s">
        <v>56</v>
      </c>
      <c r="K46" s="8" t="s">
        <v>286</v>
      </c>
      <c r="L46" s="9"/>
      <c r="M46" s="9"/>
      <c r="N46" s="10" t="str">
        <f aca="false">IF(OR(L46="",M46=""),"",L46*M46)</f>
        <v/>
      </c>
      <c r="O46" s="10" t="str">
        <f aca="false">IF(N46="","",IF(N46&gt;=8,"Alta",IF(N46&gt;=4,"Media","Baja")))</f>
        <v/>
      </c>
      <c r="P46" s="8" t="s">
        <v>287</v>
      </c>
      <c r="Q46" s="8" t="s">
        <v>230</v>
      </c>
      <c r="R46" s="8" t="s">
        <v>56</v>
      </c>
      <c r="S46" s="8" t="s">
        <v>288</v>
      </c>
    </row>
    <row r="47" customFormat="false" ht="22.35" hidden="false" customHeight="false" outlineLevel="0" collapsed="false">
      <c r="A47" s="8" t="s">
        <v>58</v>
      </c>
      <c r="B47" s="8" t="s">
        <v>265</v>
      </c>
      <c r="C47" s="8" t="s">
        <v>289</v>
      </c>
      <c r="D47" s="8" t="s">
        <v>290</v>
      </c>
      <c r="E47" s="8" t="s">
        <v>81</v>
      </c>
      <c r="F47" s="8" t="s">
        <v>49</v>
      </c>
      <c r="G47" s="8" t="s">
        <v>49</v>
      </c>
      <c r="H47" s="8" t="s">
        <v>62</v>
      </c>
      <c r="I47" s="8" t="s">
        <v>91</v>
      </c>
      <c r="J47" s="8" t="s">
        <v>56</v>
      </c>
      <c r="K47" s="8" t="s">
        <v>291</v>
      </c>
      <c r="L47" s="9"/>
      <c r="M47" s="9"/>
      <c r="N47" s="10" t="str">
        <f aca="false">IF(OR(L47="",M47=""),"",L47*M47)</f>
        <v/>
      </c>
      <c r="O47" s="10" t="str">
        <f aca="false">IF(N47="","",IF(N47&gt;=8,"Alta",IF(N47&gt;=4,"Media","Baja")))</f>
        <v/>
      </c>
      <c r="P47" s="8" t="s">
        <v>287</v>
      </c>
      <c r="Q47" s="8" t="s">
        <v>230</v>
      </c>
      <c r="R47" s="8" t="s">
        <v>56</v>
      </c>
      <c r="S47" s="8" t="s">
        <v>292</v>
      </c>
    </row>
    <row r="48" customFormat="false" ht="22.35" hidden="false" customHeight="false" outlineLevel="0" collapsed="false">
      <c r="A48" s="8" t="s">
        <v>293</v>
      </c>
      <c r="B48" s="8" t="s">
        <v>265</v>
      </c>
      <c r="C48" s="8" t="s">
        <v>294</v>
      </c>
      <c r="D48" s="8" t="s">
        <v>295</v>
      </c>
      <c r="E48" s="8" t="s">
        <v>48</v>
      </c>
      <c r="F48" s="8" t="s">
        <v>49</v>
      </c>
      <c r="G48" s="8" t="s">
        <v>49</v>
      </c>
      <c r="H48" s="8" t="s">
        <v>97</v>
      </c>
      <c r="I48" s="8" t="s">
        <v>102</v>
      </c>
      <c r="J48" s="8" t="s">
        <v>52</v>
      </c>
      <c r="K48" s="8" t="s">
        <v>296</v>
      </c>
      <c r="L48" s="9" t="n">
        <v>4</v>
      </c>
      <c r="M48" s="9" t="n">
        <v>3</v>
      </c>
      <c r="N48" s="10" t="n">
        <f aca="false">IF(OR(L48="",M48=""),"",L48*M48)</f>
        <v>12</v>
      </c>
      <c r="O48" s="10" t="str">
        <f aca="false">IF(N48="","",IF(N48&gt;=8,"Alta",IF(N48&gt;=4,"Media","Baja")))</f>
        <v>Alta</v>
      </c>
      <c r="P48" s="8" t="s">
        <v>297</v>
      </c>
      <c r="Q48" s="8" t="s">
        <v>298</v>
      </c>
      <c r="R48" s="8" t="s">
        <v>56</v>
      </c>
      <c r="S48" s="8" t="s">
        <v>299</v>
      </c>
    </row>
    <row r="49" customFormat="false" ht="22.35" hidden="false" customHeight="false" outlineLevel="0" collapsed="false">
      <c r="A49" s="8" t="s">
        <v>109</v>
      </c>
      <c r="B49" s="8" t="s">
        <v>265</v>
      </c>
      <c r="C49" s="8" t="s">
        <v>300</v>
      </c>
      <c r="D49" s="8" t="s">
        <v>301</v>
      </c>
      <c r="E49" s="8" t="s">
        <v>48</v>
      </c>
      <c r="F49" s="8" t="s">
        <v>49</v>
      </c>
      <c r="G49" s="8" t="s">
        <v>49</v>
      </c>
      <c r="H49" s="8" t="s">
        <v>62</v>
      </c>
      <c r="I49" s="8" t="s">
        <v>102</v>
      </c>
      <c r="J49" s="8" t="s">
        <v>69</v>
      </c>
      <c r="K49" s="8" t="s">
        <v>302</v>
      </c>
      <c r="L49" s="9" t="n">
        <v>2</v>
      </c>
      <c r="M49" s="9" t="n">
        <v>2</v>
      </c>
      <c r="N49" s="10" t="n">
        <f aca="false">IF(OR(L49="",M49=""),"",L49*M49)</f>
        <v>4</v>
      </c>
      <c r="O49" s="10" t="str">
        <f aca="false">IF(N49="","",IF(N49&gt;=8,"Alta",IF(N49&gt;=4,"Media","Baja")))</f>
        <v>Media</v>
      </c>
      <c r="P49" s="8" t="s">
        <v>303</v>
      </c>
      <c r="Q49" s="8" t="s">
        <v>304</v>
      </c>
      <c r="R49" s="8" t="s">
        <v>56</v>
      </c>
      <c r="S49" s="8" t="s">
        <v>305</v>
      </c>
    </row>
    <row r="50" customFormat="false" ht="22.35" hidden="false" customHeight="false" outlineLevel="0" collapsed="false">
      <c r="A50" s="8" t="s">
        <v>293</v>
      </c>
      <c r="B50" s="8" t="s">
        <v>265</v>
      </c>
      <c r="C50" s="8" t="s">
        <v>306</v>
      </c>
      <c r="D50" s="8" t="s">
        <v>307</v>
      </c>
      <c r="E50" s="8" t="s">
        <v>81</v>
      </c>
      <c r="F50" s="8" t="s">
        <v>49</v>
      </c>
      <c r="G50" s="8" t="s">
        <v>49</v>
      </c>
      <c r="H50" s="8" t="s">
        <v>62</v>
      </c>
      <c r="I50" s="8" t="s">
        <v>102</v>
      </c>
      <c r="J50" s="8" t="s">
        <v>52</v>
      </c>
      <c r="K50" s="8" t="s">
        <v>308</v>
      </c>
      <c r="L50" s="9" t="n">
        <v>4</v>
      </c>
      <c r="M50" s="9" t="n">
        <v>3</v>
      </c>
      <c r="N50" s="10" t="n">
        <f aca="false">IF(OR(L50="",M50=""),"",L50*M50)</f>
        <v>12</v>
      </c>
      <c r="O50" s="10" t="str">
        <f aca="false">IF(N50="","",IF(N50&gt;=8,"Alta",IF(N50&gt;=4,"Media","Baja")))</f>
        <v>Alta</v>
      </c>
      <c r="P50" s="8" t="s">
        <v>309</v>
      </c>
      <c r="Q50" s="8" t="s">
        <v>298</v>
      </c>
      <c r="R50" s="8" t="s">
        <v>56</v>
      </c>
      <c r="S50" s="8" t="s">
        <v>310</v>
      </c>
    </row>
    <row r="51" customFormat="false" ht="22.35" hidden="false" customHeight="false" outlineLevel="0" collapsed="false">
      <c r="A51" s="8" t="s">
        <v>58</v>
      </c>
      <c r="B51" s="8" t="s">
        <v>265</v>
      </c>
      <c r="C51" s="8" t="s">
        <v>311</v>
      </c>
      <c r="D51" s="8" t="s">
        <v>312</v>
      </c>
      <c r="E51" s="8" t="s">
        <v>81</v>
      </c>
      <c r="F51" s="8" t="s">
        <v>49</v>
      </c>
      <c r="G51" s="8" t="s">
        <v>49</v>
      </c>
      <c r="H51" s="8" t="s">
        <v>62</v>
      </c>
      <c r="I51" s="8" t="s">
        <v>282</v>
      </c>
      <c r="J51" s="8" t="s">
        <v>64</v>
      </c>
      <c r="K51" s="8" t="s">
        <v>313</v>
      </c>
      <c r="L51" s="9"/>
      <c r="M51" s="9"/>
      <c r="N51" s="10" t="str">
        <f aca="false">IF(OR(L51="",M51=""),"",L51*M51)</f>
        <v/>
      </c>
      <c r="O51" s="10" t="str">
        <f aca="false">IF(N51="","",IF(N51&gt;=8,"Alta",IF(N51&gt;=4,"Media","Baja")))</f>
        <v/>
      </c>
      <c r="P51" s="8" t="s">
        <v>314</v>
      </c>
      <c r="Q51" s="8" t="s">
        <v>315</v>
      </c>
      <c r="R51" s="8" t="s">
        <v>56</v>
      </c>
      <c r="S51" s="8" t="s">
        <v>316</v>
      </c>
    </row>
    <row r="52" customFormat="false" ht="22.35" hidden="false" customHeight="false" outlineLevel="0" collapsed="false">
      <c r="A52" s="8" t="s">
        <v>58</v>
      </c>
      <c r="B52" s="8" t="s">
        <v>317</v>
      </c>
      <c r="C52" s="8" t="s">
        <v>318</v>
      </c>
      <c r="D52" s="8" t="s">
        <v>319</v>
      </c>
      <c r="E52" s="8" t="s">
        <v>48</v>
      </c>
      <c r="F52" s="8" t="s">
        <v>61</v>
      </c>
      <c r="G52" s="8" t="s">
        <v>49</v>
      </c>
      <c r="H52" s="8" t="s">
        <v>320</v>
      </c>
      <c r="I52" s="8" t="s">
        <v>91</v>
      </c>
      <c r="J52" s="8" t="s">
        <v>98</v>
      </c>
      <c r="K52" s="8" t="s">
        <v>58</v>
      </c>
      <c r="L52" s="9"/>
      <c r="M52" s="9"/>
      <c r="N52" s="10" t="str">
        <f aca="false">IF(OR(L52="",M52=""),"",L52*M52)</f>
        <v/>
      </c>
      <c r="O52" s="10" t="str">
        <f aca="false">IF(N52="","",IF(N52&gt;=8,"Alta",IF(N52&gt;=4,"Media","Baja")))</f>
        <v/>
      </c>
      <c r="P52" s="8" t="s">
        <v>58</v>
      </c>
      <c r="Q52" s="8" t="s">
        <v>58</v>
      </c>
      <c r="R52" s="8" t="s">
        <v>56</v>
      </c>
      <c r="S52" s="8" t="s">
        <v>321</v>
      </c>
    </row>
    <row r="53" customFormat="false" ht="22.35" hidden="false" customHeight="false" outlineLevel="0" collapsed="false">
      <c r="A53" s="8" t="s">
        <v>322</v>
      </c>
      <c r="B53" s="8" t="s">
        <v>317</v>
      </c>
      <c r="C53" s="8" t="s">
        <v>323</v>
      </c>
      <c r="D53" s="8" t="s">
        <v>324</v>
      </c>
      <c r="E53" s="8" t="s">
        <v>48</v>
      </c>
      <c r="F53" s="8" t="s">
        <v>49</v>
      </c>
      <c r="G53" s="8" t="s">
        <v>49</v>
      </c>
      <c r="H53" s="8" t="s">
        <v>325</v>
      </c>
      <c r="I53" s="8" t="s">
        <v>326</v>
      </c>
      <c r="J53" s="8" t="s">
        <v>52</v>
      </c>
      <c r="K53" s="8" t="s">
        <v>327</v>
      </c>
      <c r="L53" s="9" t="n">
        <v>3</v>
      </c>
      <c r="M53" s="9" t="n">
        <v>2</v>
      </c>
      <c r="N53" s="10" t="n">
        <f aca="false">IF(OR(L53="",M53=""),"",L53*M53)</f>
        <v>6</v>
      </c>
      <c r="O53" s="10" t="str">
        <f aca="false">IF(N53="","",IF(N53&gt;=8,"Alta",IF(N53&gt;=4,"Media","Baja")))</f>
        <v>Media</v>
      </c>
      <c r="P53" s="8" t="s">
        <v>328</v>
      </c>
      <c r="Q53" s="8" t="s">
        <v>260</v>
      </c>
      <c r="R53" s="8" t="s">
        <v>56</v>
      </c>
      <c r="S53" s="8" t="s">
        <v>329</v>
      </c>
    </row>
    <row r="54" customFormat="false" ht="22.35" hidden="false" customHeight="false" outlineLevel="0" collapsed="false">
      <c r="A54" s="8" t="s">
        <v>330</v>
      </c>
      <c r="B54" s="8" t="s">
        <v>317</v>
      </c>
      <c r="C54" s="8" t="s">
        <v>331</v>
      </c>
      <c r="D54" s="8" t="s">
        <v>332</v>
      </c>
      <c r="E54" s="8" t="s">
        <v>81</v>
      </c>
      <c r="F54" s="8" t="s">
        <v>49</v>
      </c>
      <c r="G54" s="8" t="s">
        <v>49</v>
      </c>
      <c r="H54" s="8" t="s">
        <v>333</v>
      </c>
      <c r="I54" s="8" t="s">
        <v>102</v>
      </c>
      <c r="J54" s="8" t="s">
        <v>52</v>
      </c>
      <c r="K54" s="8" t="s">
        <v>334</v>
      </c>
      <c r="L54" s="9" t="n">
        <v>3</v>
      </c>
      <c r="M54" s="9" t="n">
        <v>3</v>
      </c>
      <c r="N54" s="10" t="n">
        <f aca="false">IF(OR(L54="",M54=""),"",L54*M54)</f>
        <v>9</v>
      </c>
      <c r="O54" s="10" t="str">
        <f aca="false">IF(N54="","",IF(N54&gt;=8,"Alta",IF(N54&gt;=4,"Media","Baja")))</f>
        <v>Alta</v>
      </c>
      <c r="P54" s="8" t="s">
        <v>238</v>
      </c>
      <c r="Q54" s="8" t="s">
        <v>304</v>
      </c>
      <c r="R54" s="8" t="s">
        <v>56</v>
      </c>
      <c r="S54" s="8" t="s">
        <v>335</v>
      </c>
    </row>
  </sheetData>
  <autoFilter ref="A4:S54"/>
  <conditionalFormatting sqref="J5:J54">
    <cfRule type="cellIs" priority="2" operator="equal" aboveAverage="0" equalAverage="0" bottom="0" percent="0" rank="0" text="" dxfId="7">
      <formula>"No cumple"</formula>
    </cfRule>
    <cfRule type="cellIs" priority="3" operator="equal" aboveAverage="0" equalAverage="0" bottom="0" percent="0" rank="0" text="" dxfId="8">
      <formula>"Parcial"</formula>
    </cfRule>
    <cfRule type="cellIs" priority="4" operator="equal" aboveAverage="0" equalAverage="0" bottom="0" percent="0" rank="0" text="" dxfId="9">
      <formula>"Cumple"</formula>
    </cfRule>
  </conditionalFormatting>
  <conditionalFormatting sqref="R5:R54">
    <cfRule type="cellIs" priority="5" operator="equal" aboveAverage="0" equalAverage="0" bottom="0" percent="0" rank="0" text="" dxfId="7">
      <formula>"No cumple"</formula>
    </cfRule>
    <cfRule type="cellIs" priority="6" operator="equal" aboveAverage="0" equalAverage="0" bottom="0" percent="0" rank="0" text="" dxfId="8">
      <formula>"Parcial"</formula>
    </cfRule>
    <cfRule type="cellIs" priority="7" operator="equal" aboveAverage="0" equalAverage="0" bottom="0" percent="0" rank="0" text="" dxfId="9">
      <formula>"Cumple"</formula>
    </cfRule>
  </conditionalFormatting>
  <dataValidations count="1">
    <dataValidation allowBlank="true" errorStyle="stop" operator="between" showDropDown="false" showErrorMessage="false" showInputMessage="false" sqref="J5:J54 R5:R54" type="list">
      <formula1>"Cumple,Parcial,No cumple,No aplica,Sin barrera observada"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24"/>
  </cols>
  <sheetData>
    <row r="1" customFormat="false" ht="16.15" hidden="false" customHeight="false" outlineLevel="0" collapsed="false">
      <c r="A1" s="5" t="s">
        <v>336</v>
      </c>
    </row>
    <row r="4" customFormat="false" ht="15" hidden="false" customHeight="false" outlineLevel="0" collapsed="false">
      <c r="A4" s="7" t="s">
        <v>26</v>
      </c>
      <c r="B4" s="7" t="s">
        <v>337</v>
      </c>
      <c r="C4" s="7" t="s">
        <v>338</v>
      </c>
      <c r="D4" s="7" t="s">
        <v>339</v>
      </c>
      <c r="E4" s="7" t="s">
        <v>340</v>
      </c>
      <c r="F4" s="7" t="s">
        <v>341</v>
      </c>
      <c r="G4" s="7" t="s">
        <v>342</v>
      </c>
      <c r="H4" s="7" t="s">
        <v>343</v>
      </c>
      <c r="I4" s="7" t="s">
        <v>344</v>
      </c>
      <c r="J4" s="7" t="s">
        <v>345</v>
      </c>
      <c r="K4" s="7" t="s">
        <v>346</v>
      </c>
    </row>
    <row r="5" customFormat="false" ht="15" hidden="false" customHeight="false" outlineLevel="0" collapsed="false">
      <c r="A5" s="11" t="s">
        <v>45</v>
      </c>
      <c r="B5" s="12" t="n">
        <f aca="false">COUNTIF('Matriz WCAG 2.1'!$B$5:$B$54,A5)</f>
        <v>20</v>
      </c>
      <c r="C5" s="12" t="n">
        <f aca="false">COUNTIFS('Matriz WCAG 2.1'!$B$5:$B$54,A5,'Matriz WCAG 2.1'!$J$5:$J$54,"Cumple")+COUNTIFS('Matriz WCAG 2.1'!$B$5:$B$54,A5,'Matriz WCAG 2.1'!$J$5:$J$54,"Sin barrera observada")</f>
        <v>6</v>
      </c>
      <c r="D5" s="12" t="n">
        <f aca="false">COUNTIFS('Matriz WCAG 2.1'!$B$5:$B$54,A5,'Matriz WCAG 2.1'!$J$5:$J$54,"Parcial")</f>
        <v>5</v>
      </c>
      <c r="E5" s="12" t="n">
        <f aca="false">COUNTIFS('Matriz WCAG 2.1'!$B$5:$B$54,A5,'Matriz WCAG 2.1'!$J$5:$J$54,"No cumple")</f>
        <v>7</v>
      </c>
      <c r="F5" s="12" t="n">
        <f aca="false">COUNTIFS('Matriz WCAG 2.1'!$B$5:$B$54,A5,'Matriz WCAG 2.1'!$J$5:$J$54,"No aplica")</f>
        <v>2</v>
      </c>
      <c r="G5" s="12" t="n">
        <f aca="false">COUNTIFS('Matriz WCAG 2.1'!$B$5:$B$54,A5,'Matriz WCAG 2.1'!$R$5:$R$54,"Cumple")</f>
        <v>14</v>
      </c>
      <c r="H5" s="12" t="n">
        <f aca="false">COUNTIFS('Matriz WCAG 2.1'!$B$5:$B$54,A5,'Matriz WCAG 2.1'!$R$5:$R$54,"Parcial")</f>
        <v>2</v>
      </c>
      <c r="I5" s="12" t="n">
        <f aca="false">COUNTIFS('Matriz WCAG 2.1'!$B$5:$B$54,A5,'Matriz WCAG 2.1'!$R$5:$R$54,"No cumple")</f>
        <v>2</v>
      </c>
      <c r="J5" s="12" t="n">
        <f aca="false">COUNTIFS('Matriz WCAG 2.1'!$B$5:$B$54,A5,'Matriz WCAG 2.1'!$R$5:$R$54,"No aplica")</f>
        <v>2</v>
      </c>
      <c r="K5" s="12" t="str">
        <f aca="false">IF(H5+I5=0,"Cumple","Parcialmente conforme")</f>
        <v>Parcialmente conforme</v>
      </c>
    </row>
    <row r="6" customFormat="false" ht="15" hidden="false" customHeight="false" outlineLevel="0" collapsed="false">
      <c r="A6" s="11" t="s">
        <v>178</v>
      </c>
      <c r="B6" s="12" t="n">
        <f aca="false">COUNTIF('Matriz WCAG 2.1'!$B$5:$B$54,A6)</f>
        <v>17</v>
      </c>
      <c r="C6" s="12" t="n">
        <f aca="false">COUNTIFS('Matriz WCAG 2.1'!$B$5:$B$54,A6,'Matriz WCAG 2.1'!$J$5:$J$54,"Cumple")+COUNTIFS('Matriz WCAG 2.1'!$B$5:$B$54,A6,'Matriz WCAG 2.1'!$J$5:$J$54,"Sin barrera observada")</f>
        <v>10</v>
      </c>
      <c r="D6" s="12" t="n">
        <f aca="false">COUNTIFS('Matriz WCAG 2.1'!$B$5:$B$54,A6,'Matriz WCAG 2.1'!$J$5:$J$54,"Parcial")</f>
        <v>2</v>
      </c>
      <c r="E6" s="12" t="n">
        <f aca="false">COUNTIFS('Matriz WCAG 2.1'!$B$5:$B$54,A6,'Matriz WCAG 2.1'!$J$5:$J$54,"No cumple")</f>
        <v>3</v>
      </c>
      <c r="F6" s="12" t="n">
        <f aca="false">COUNTIFS('Matriz WCAG 2.1'!$B$5:$B$54,A6,'Matriz WCAG 2.1'!$J$5:$J$54,"No aplica")</f>
        <v>2</v>
      </c>
      <c r="G6" s="12" t="n">
        <f aca="false">COUNTIFS('Matriz WCAG 2.1'!$B$5:$B$54,A6,'Matriz WCAG 2.1'!$R$5:$R$54,"Cumple")</f>
        <v>16</v>
      </c>
      <c r="H6" s="12" t="n">
        <f aca="false">COUNTIFS('Matriz WCAG 2.1'!$B$5:$B$54,A6,'Matriz WCAG 2.1'!$R$5:$R$54,"Parcial")</f>
        <v>0</v>
      </c>
      <c r="I6" s="12" t="n">
        <f aca="false">COUNTIFS('Matriz WCAG 2.1'!$B$5:$B$54,A6,'Matriz WCAG 2.1'!$R$5:$R$54,"No cumple")</f>
        <v>0</v>
      </c>
      <c r="J6" s="12" t="n">
        <f aca="false">COUNTIFS('Matriz WCAG 2.1'!$B$5:$B$54,A6,'Matriz WCAG 2.1'!$R$5:$R$54,"No aplica")</f>
        <v>1</v>
      </c>
      <c r="K6" s="12" t="str">
        <f aca="false">IF(H6+I6=0,"Cumple","Parcialmente conforme")</f>
        <v>Cumple</v>
      </c>
    </row>
    <row r="7" customFormat="false" ht="15" hidden="false" customHeight="false" outlineLevel="0" collapsed="false">
      <c r="A7" s="11" t="s">
        <v>265</v>
      </c>
      <c r="B7" s="12" t="n">
        <f aca="false">COUNTIF('Matriz WCAG 2.1'!$B$5:$B$54,A7)</f>
        <v>10</v>
      </c>
      <c r="C7" s="12" t="n">
        <f aca="false">COUNTIFS('Matriz WCAG 2.1'!$B$5:$B$54,A7,'Matriz WCAG 2.1'!$J$5:$J$54,"Cumple")+COUNTIFS('Matriz WCAG 2.1'!$B$5:$B$54,A7,'Matriz WCAG 2.1'!$J$5:$J$54,"Sin barrera observada")</f>
        <v>5</v>
      </c>
      <c r="D7" s="12" t="n">
        <f aca="false">COUNTIFS('Matriz WCAG 2.1'!$B$5:$B$54,A7,'Matriz WCAG 2.1'!$J$5:$J$54,"Parcial")</f>
        <v>1</v>
      </c>
      <c r="E7" s="12" t="n">
        <f aca="false">COUNTIFS('Matriz WCAG 2.1'!$B$5:$B$54,A7,'Matriz WCAG 2.1'!$J$5:$J$54,"No cumple")</f>
        <v>3</v>
      </c>
      <c r="F7" s="12" t="n">
        <f aca="false">COUNTIFS('Matriz WCAG 2.1'!$B$5:$B$54,A7,'Matriz WCAG 2.1'!$J$5:$J$54,"No aplica")</f>
        <v>1</v>
      </c>
      <c r="G7" s="12" t="n">
        <f aca="false">COUNTIFS('Matriz WCAG 2.1'!$B$5:$B$54,A7,'Matriz WCAG 2.1'!$R$5:$R$54,"Cumple")</f>
        <v>10</v>
      </c>
      <c r="H7" s="12" t="n">
        <f aca="false">COUNTIFS('Matriz WCAG 2.1'!$B$5:$B$54,A7,'Matriz WCAG 2.1'!$R$5:$R$54,"Parcial")</f>
        <v>0</v>
      </c>
      <c r="I7" s="12" t="n">
        <f aca="false">COUNTIFS('Matriz WCAG 2.1'!$B$5:$B$54,A7,'Matriz WCAG 2.1'!$R$5:$R$54,"No cumple")</f>
        <v>0</v>
      </c>
      <c r="J7" s="12" t="n">
        <f aca="false">COUNTIFS('Matriz WCAG 2.1'!$B$5:$B$54,A7,'Matriz WCAG 2.1'!$R$5:$R$54,"No aplica")</f>
        <v>0</v>
      </c>
      <c r="K7" s="12" t="str">
        <f aca="false">IF(H7+I7=0,"Cumple","Parcialmente conforme")</f>
        <v>Cumple</v>
      </c>
    </row>
    <row r="8" customFormat="false" ht="15" hidden="false" customHeight="false" outlineLevel="0" collapsed="false">
      <c r="A8" s="11" t="s">
        <v>317</v>
      </c>
      <c r="B8" s="12" t="n">
        <f aca="false">COUNTIF('Matriz WCAG 2.1'!$B$5:$B$54,A8)</f>
        <v>3</v>
      </c>
      <c r="C8" s="12" t="n">
        <f aca="false">COUNTIFS('Matriz WCAG 2.1'!$B$5:$B$54,A8,'Matriz WCAG 2.1'!$J$5:$J$54,"Cumple")+COUNTIFS('Matriz WCAG 2.1'!$B$5:$B$54,A8,'Matriz WCAG 2.1'!$J$5:$J$54,"Sin barrera observada")</f>
        <v>1</v>
      </c>
      <c r="D8" s="12" t="n">
        <f aca="false">COUNTIFS('Matriz WCAG 2.1'!$B$5:$B$54,A8,'Matriz WCAG 2.1'!$J$5:$J$54,"Parcial")</f>
        <v>0</v>
      </c>
      <c r="E8" s="12" t="n">
        <f aca="false">COUNTIFS('Matriz WCAG 2.1'!$B$5:$B$54,A8,'Matriz WCAG 2.1'!$J$5:$J$54,"No cumple")</f>
        <v>2</v>
      </c>
      <c r="F8" s="12" t="n">
        <f aca="false">COUNTIFS('Matriz WCAG 2.1'!$B$5:$B$54,A8,'Matriz WCAG 2.1'!$J$5:$J$54,"No aplica")</f>
        <v>0</v>
      </c>
      <c r="G8" s="12" t="n">
        <f aca="false">COUNTIFS('Matriz WCAG 2.1'!$B$5:$B$54,A8,'Matriz WCAG 2.1'!$R$5:$R$54,"Cumple")</f>
        <v>3</v>
      </c>
      <c r="H8" s="12" t="n">
        <f aca="false">COUNTIFS('Matriz WCAG 2.1'!$B$5:$B$54,A8,'Matriz WCAG 2.1'!$R$5:$R$54,"Parcial")</f>
        <v>0</v>
      </c>
      <c r="I8" s="12" t="n">
        <f aca="false">COUNTIFS('Matriz WCAG 2.1'!$B$5:$B$54,A8,'Matriz WCAG 2.1'!$R$5:$R$54,"No cumple")</f>
        <v>0</v>
      </c>
      <c r="J8" s="12" t="n">
        <f aca="false">COUNTIFS('Matriz WCAG 2.1'!$B$5:$B$54,A8,'Matriz WCAG 2.1'!$R$5:$R$54,"No aplica")</f>
        <v>0</v>
      </c>
      <c r="K8" s="12" t="str">
        <f aca="false">IF(H8+I8=0,"Cumple","Parcialmente conforme")</f>
        <v>Cumple</v>
      </c>
    </row>
    <row r="9" customFormat="false" ht="15" hidden="false" customHeight="false" outlineLevel="0" collapsed="false">
      <c r="A9" s="13" t="s">
        <v>337</v>
      </c>
      <c r="B9" s="14" t="n">
        <f aca="false">SUM(B5:B8)</f>
        <v>50</v>
      </c>
      <c r="C9" s="14" t="n">
        <f aca="false">SUM(C5:C8)</f>
        <v>22</v>
      </c>
      <c r="D9" s="14" t="n">
        <f aca="false">SUM(D5:D8)</f>
        <v>8</v>
      </c>
      <c r="E9" s="14" t="n">
        <f aca="false">SUM(E5:E8)</f>
        <v>15</v>
      </c>
      <c r="F9" s="14" t="n">
        <f aca="false">SUM(F5:F8)</f>
        <v>5</v>
      </c>
      <c r="G9" s="14" t="n">
        <f aca="false">SUM(G5:G8)</f>
        <v>43</v>
      </c>
      <c r="H9" s="14" t="n">
        <f aca="false">SUM(H5:H8)</f>
        <v>2</v>
      </c>
      <c r="I9" s="14" t="n">
        <f aca="false">SUM(I5:I8)</f>
        <v>2</v>
      </c>
      <c r="J9" s="14" t="n">
        <f aca="false">SUM(J5:J8)</f>
        <v>3</v>
      </c>
      <c r="K9" s="14" t="str">
        <f aca="false">IF(H9+I9=0,"Conforme AA","Parcialmente conforme")</f>
        <v>Parcialmente conforme</v>
      </c>
    </row>
    <row r="11" customFormat="false" ht="15" hidden="false" customHeight="false" outlineLevel="0" collapsed="false">
      <c r="A11" s="15" t="s">
        <v>347</v>
      </c>
    </row>
    <row r="12" customFormat="false" ht="15" hidden="false" customHeight="false" outlineLevel="0" collapsed="false">
      <c r="A12" s="16" t="s">
        <v>348</v>
      </c>
      <c r="B12" s="16" t="n">
        <f aca="false">COUNTIF('Matriz WCAG 2.1'!$F$5:$F$54,"Sí")</f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7" min="6" style="0" width="5"/>
    <col collapsed="false" customWidth="true" hidden="false" outlineLevel="0" max="9" min="8" style="0" width="10"/>
    <col collapsed="false" customWidth="true" hidden="false" outlineLevel="0" max="10" min="10" style="0" width="24"/>
    <col collapsed="false" customWidth="true" hidden="false" outlineLevel="0" max="11" min="11" style="0" width="12"/>
    <col collapsed="false" customWidth="true" hidden="false" outlineLevel="0" max="12" min="12" style="0" width="13"/>
  </cols>
  <sheetData>
    <row r="1" customFormat="false" ht="16.15" hidden="false" customHeight="false" outlineLevel="0" collapsed="false">
      <c r="A1" s="5" t="s">
        <v>349</v>
      </c>
    </row>
    <row r="4" customFormat="false" ht="23.85" hidden="false" customHeight="false" outlineLevel="0" collapsed="false">
      <c r="A4" s="7" t="s">
        <v>350</v>
      </c>
      <c r="B4" s="7" t="s">
        <v>25</v>
      </c>
      <c r="C4" s="7" t="s">
        <v>351</v>
      </c>
      <c r="D4" s="7" t="s">
        <v>352</v>
      </c>
      <c r="E4" s="7" t="s">
        <v>353</v>
      </c>
      <c r="F4" s="7" t="s">
        <v>354</v>
      </c>
      <c r="G4" s="7" t="s">
        <v>48</v>
      </c>
      <c r="H4" s="7" t="s">
        <v>38</v>
      </c>
      <c r="I4" s="7" t="s">
        <v>39</v>
      </c>
      <c r="J4" s="7" t="s">
        <v>355</v>
      </c>
      <c r="K4" s="7" t="s">
        <v>41</v>
      </c>
      <c r="L4" s="7" t="s">
        <v>346</v>
      </c>
    </row>
    <row r="5" customFormat="false" ht="15" hidden="false" customHeight="false" outlineLevel="0" collapsed="false">
      <c r="A5" s="8" t="s">
        <v>128</v>
      </c>
      <c r="B5" s="8" t="s">
        <v>356</v>
      </c>
      <c r="C5" s="8" t="s">
        <v>129</v>
      </c>
      <c r="D5" s="8" t="s">
        <v>357</v>
      </c>
      <c r="E5" s="8" t="s">
        <v>358</v>
      </c>
      <c r="F5" s="9" t="n">
        <v>4</v>
      </c>
      <c r="G5" s="9" t="n">
        <v>3</v>
      </c>
      <c r="H5" s="10" t="n">
        <f aca="false">F5*G5</f>
        <v>12</v>
      </c>
      <c r="I5" s="10" t="str">
        <f aca="false">IF(H5&gt;=8,"Alta",IF(H5&gt;=4,"Media","Baja"))</f>
        <v>Alta</v>
      </c>
      <c r="J5" s="8" t="s">
        <v>142</v>
      </c>
      <c r="K5" s="8" t="s">
        <v>135</v>
      </c>
      <c r="L5" s="8" t="s">
        <v>359</v>
      </c>
    </row>
    <row r="6" customFormat="false" ht="22.35" hidden="false" customHeight="false" outlineLevel="0" collapsed="false">
      <c r="A6" s="8" t="s">
        <v>293</v>
      </c>
      <c r="B6" s="8" t="s">
        <v>360</v>
      </c>
      <c r="C6" s="8" t="s">
        <v>361</v>
      </c>
      <c r="D6" s="8" t="s">
        <v>362</v>
      </c>
      <c r="E6" s="8" t="s">
        <v>363</v>
      </c>
      <c r="F6" s="9" t="n">
        <v>4</v>
      </c>
      <c r="G6" s="9" t="n">
        <v>3</v>
      </c>
      <c r="H6" s="10" t="n">
        <f aca="false">F6*G6</f>
        <v>12</v>
      </c>
      <c r="I6" s="10" t="str">
        <f aca="false">IF(H6&gt;=8,"Alta",IF(H6&gt;=4,"Media","Baja"))</f>
        <v>Alta</v>
      </c>
      <c r="J6" s="8" t="s">
        <v>238</v>
      </c>
      <c r="K6" s="8" t="s">
        <v>298</v>
      </c>
      <c r="L6" s="8" t="s">
        <v>359</v>
      </c>
    </row>
    <row r="7" customFormat="false" ht="15" hidden="false" customHeight="false" outlineLevel="0" collapsed="false">
      <c r="A7" s="8" t="s">
        <v>44</v>
      </c>
      <c r="B7" s="8" t="s">
        <v>364</v>
      </c>
      <c r="C7" s="8" t="s">
        <v>46</v>
      </c>
      <c r="D7" s="8" t="s">
        <v>365</v>
      </c>
      <c r="E7" s="8" t="s">
        <v>366</v>
      </c>
      <c r="F7" s="9" t="n">
        <v>3</v>
      </c>
      <c r="G7" s="9" t="n">
        <v>3</v>
      </c>
      <c r="H7" s="10" t="n">
        <f aca="false">F7*G7</f>
        <v>9</v>
      </c>
      <c r="I7" s="10" t="str">
        <f aca="false">IF(H7&gt;=8,"Alta",IF(H7&gt;=4,"Media","Baja"))</f>
        <v>Alta</v>
      </c>
      <c r="J7" s="8" t="s">
        <v>77</v>
      </c>
      <c r="K7" s="8" t="s">
        <v>55</v>
      </c>
      <c r="L7" s="8" t="s">
        <v>359</v>
      </c>
    </row>
    <row r="8" customFormat="false" ht="15" hidden="false" customHeight="false" outlineLevel="0" collapsed="false">
      <c r="A8" s="8" t="s">
        <v>87</v>
      </c>
      <c r="B8" s="8" t="s">
        <v>367</v>
      </c>
      <c r="C8" s="8" t="s">
        <v>368</v>
      </c>
      <c r="D8" s="8" t="s">
        <v>91</v>
      </c>
      <c r="E8" s="8" t="s">
        <v>369</v>
      </c>
      <c r="F8" s="9" t="n">
        <v>3</v>
      </c>
      <c r="G8" s="9" t="n">
        <v>3</v>
      </c>
      <c r="H8" s="10" t="n">
        <f aca="false">F8*G8</f>
        <v>9</v>
      </c>
      <c r="I8" s="10" t="str">
        <f aca="false">IF(H8&gt;=8,"Alta",IF(H8&gt;=4,"Media","Baja"))</f>
        <v>Alta</v>
      </c>
      <c r="J8" s="8" t="s">
        <v>238</v>
      </c>
      <c r="K8" s="8" t="s">
        <v>55</v>
      </c>
      <c r="L8" s="8" t="s">
        <v>359</v>
      </c>
    </row>
    <row r="9" customFormat="false" ht="15" hidden="false" customHeight="false" outlineLevel="0" collapsed="false">
      <c r="A9" s="8" t="s">
        <v>157</v>
      </c>
      <c r="B9" s="8" t="s">
        <v>370</v>
      </c>
      <c r="C9" s="8" t="s">
        <v>371</v>
      </c>
      <c r="D9" s="8" t="s">
        <v>91</v>
      </c>
      <c r="E9" s="8" t="s">
        <v>372</v>
      </c>
      <c r="F9" s="9" t="n">
        <v>3</v>
      </c>
      <c r="G9" s="9" t="n">
        <v>3</v>
      </c>
      <c r="H9" s="10" t="n">
        <f aca="false">F9*G9</f>
        <v>9</v>
      </c>
      <c r="I9" s="10" t="str">
        <f aca="false">IF(H9&gt;=8,"Alta",IF(H9&gt;=4,"Media","Baja"))</f>
        <v>Alta</v>
      </c>
      <c r="J9" s="8" t="s">
        <v>373</v>
      </c>
      <c r="K9" s="8" t="s">
        <v>374</v>
      </c>
      <c r="L9" s="8" t="s">
        <v>359</v>
      </c>
    </row>
    <row r="10" customFormat="false" ht="15" hidden="false" customHeight="false" outlineLevel="0" collapsed="false">
      <c r="A10" s="8" t="s">
        <v>330</v>
      </c>
      <c r="B10" s="8" t="s">
        <v>375</v>
      </c>
      <c r="C10" s="8" t="s">
        <v>331</v>
      </c>
      <c r="D10" s="8" t="s">
        <v>362</v>
      </c>
      <c r="E10" s="8" t="s">
        <v>376</v>
      </c>
      <c r="F10" s="9" t="n">
        <v>3</v>
      </c>
      <c r="G10" s="9" t="n">
        <v>3</v>
      </c>
      <c r="H10" s="10" t="n">
        <f aca="false">F10*G10</f>
        <v>9</v>
      </c>
      <c r="I10" s="10" t="str">
        <f aca="false">IF(H10&gt;=8,"Alta",IF(H10&gt;=4,"Media","Baja"))</f>
        <v>Alta</v>
      </c>
      <c r="J10" s="8" t="s">
        <v>77</v>
      </c>
      <c r="K10" s="8" t="s">
        <v>304</v>
      </c>
      <c r="L10" s="8" t="s">
        <v>359</v>
      </c>
    </row>
    <row r="11" customFormat="false" ht="15" hidden="false" customHeight="false" outlineLevel="0" collapsed="false">
      <c r="A11" s="8" t="s">
        <v>202</v>
      </c>
      <c r="B11" s="8" t="s">
        <v>377</v>
      </c>
      <c r="C11" s="8" t="s">
        <v>203</v>
      </c>
      <c r="D11" s="8" t="s">
        <v>357</v>
      </c>
      <c r="E11" s="8" t="s">
        <v>378</v>
      </c>
      <c r="F11" s="9" t="n">
        <v>3</v>
      </c>
      <c r="G11" s="9" t="n">
        <v>2</v>
      </c>
      <c r="H11" s="10" t="n">
        <f aca="false">F11*G11</f>
        <v>6</v>
      </c>
      <c r="I11" s="10" t="str">
        <f aca="false">IF(H11&gt;=8,"Alta",IF(H11&gt;=4,"Media","Baja"))</f>
        <v>Media</v>
      </c>
      <c r="J11" s="8" t="s">
        <v>379</v>
      </c>
      <c r="K11" s="8" t="s">
        <v>207</v>
      </c>
      <c r="L11" s="8" t="s">
        <v>359</v>
      </c>
    </row>
    <row r="12" customFormat="false" ht="15" hidden="false" customHeight="false" outlineLevel="0" collapsed="false">
      <c r="A12" s="8" t="s">
        <v>322</v>
      </c>
      <c r="B12" s="8" t="s">
        <v>380</v>
      </c>
      <c r="C12" s="8" t="s">
        <v>323</v>
      </c>
      <c r="D12" s="8" t="s">
        <v>365</v>
      </c>
      <c r="E12" s="8" t="s">
        <v>381</v>
      </c>
      <c r="F12" s="9" t="n">
        <v>3</v>
      </c>
      <c r="G12" s="9" t="n">
        <v>2</v>
      </c>
      <c r="H12" s="10" t="n">
        <f aca="false">F12*G12</f>
        <v>6</v>
      </c>
      <c r="I12" s="10" t="str">
        <f aca="false">IF(H12&gt;=8,"Alta",IF(H12&gt;=4,"Media","Baja"))</f>
        <v>Media</v>
      </c>
      <c r="J12" s="8" t="s">
        <v>328</v>
      </c>
      <c r="K12" s="8" t="s">
        <v>260</v>
      </c>
      <c r="L12" s="8" t="s">
        <v>359</v>
      </c>
    </row>
    <row r="13" customFormat="false" ht="15" hidden="false" customHeight="false" outlineLevel="0" collapsed="false">
      <c r="A13" s="8" t="s">
        <v>177</v>
      </c>
      <c r="B13" s="8" t="s">
        <v>382</v>
      </c>
      <c r="C13" s="8" t="s">
        <v>179</v>
      </c>
      <c r="D13" s="8" t="s">
        <v>383</v>
      </c>
      <c r="E13" s="8" t="s">
        <v>384</v>
      </c>
      <c r="F13" s="9" t="n">
        <v>3</v>
      </c>
      <c r="G13" s="9" t="n">
        <v>2</v>
      </c>
      <c r="H13" s="10" t="n">
        <f aca="false">F13*G13</f>
        <v>6</v>
      </c>
      <c r="I13" s="10" t="str">
        <f aca="false">IF(H13&gt;=8,"Alta",IF(H13&gt;=4,"Media","Baja"))</f>
        <v>Media</v>
      </c>
      <c r="J13" s="8" t="s">
        <v>184</v>
      </c>
      <c r="K13" s="8" t="s">
        <v>185</v>
      </c>
      <c r="L13" s="8" t="s">
        <v>359</v>
      </c>
    </row>
    <row r="14" customFormat="false" ht="15" hidden="false" customHeight="false" outlineLevel="0" collapsed="false">
      <c r="A14" s="8" t="s">
        <v>225</v>
      </c>
      <c r="B14" s="8" t="s">
        <v>385</v>
      </c>
      <c r="C14" s="8" t="s">
        <v>226</v>
      </c>
      <c r="D14" s="8" t="s">
        <v>386</v>
      </c>
      <c r="E14" s="8" t="s">
        <v>387</v>
      </c>
      <c r="F14" s="9" t="n">
        <v>2</v>
      </c>
      <c r="G14" s="9" t="n">
        <v>2</v>
      </c>
      <c r="H14" s="10" t="n">
        <f aca="false">F14*G14</f>
        <v>4</v>
      </c>
      <c r="I14" s="10" t="str">
        <f aca="false">IF(H14&gt;=8,"Alta",IF(H14&gt;=4,"Media","Baja"))</f>
        <v>Media</v>
      </c>
      <c r="J14" s="8" t="s">
        <v>77</v>
      </c>
      <c r="K14" s="8" t="s">
        <v>230</v>
      </c>
      <c r="L14" s="8" t="s">
        <v>359</v>
      </c>
    </row>
    <row r="15" customFormat="false" ht="15" hidden="false" customHeight="false" outlineLevel="0" collapsed="false">
      <c r="A15" s="8" t="s">
        <v>271</v>
      </c>
      <c r="B15" s="8" t="s">
        <v>388</v>
      </c>
      <c r="C15" s="8" t="s">
        <v>272</v>
      </c>
      <c r="D15" s="8" t="s">
        <v>91</v>
      </c>
      <c r="E15" s="8" t="s">
        <v>389</v>
      </c>
      <c r="F15" s="9" t="n">
        <v>2</v>
      </c>
      <c r="G15" s="9" t="n">
        <v>3</v>
      </c>
      <c r="H15" s="10" t="n">
        <f aca="false">F15*G15</f>
        <v>6</v>
      </c>
      <c r="I15" s="10" t="str">
        <f aca="false">IF(H15&gt;=8,"Alta",IF(H15&gt;=4,"Media","Baja"))</f>
        <v>Media</v>
      </c>
      <c r="J15" s="8" t="s">
        <v>238</v>
      </c>
      <c r="K15" s="8" t="s">
        <v>230</v>
      </c>
      <c r="L15" s="8" t="s">
        <v>359</v>
      </c>
    </row>
    <row r="16" customFormat="false" ht="15" hidden="false" customHeight="false" outlineLevel="0" collapsed="false">
      <c r="A16" s="8" t="s">
        <v>109</v>
      </c>
      <c r="B16" s="8" t="s">
        <v>390</v>
      </c>
      <c r="C16" s="8" t="s">
        <v>391</v>
      </c>
      <c r="D16" s="8" t="s">
        <v>362</v>
      </c>
      <c r="E16" s="8" t="s">
        <v>392</v>
      </c>
      <c r="F16" s="9" t="n">
        <v>2</v>
      </c>
      <c r="G16" s="9" t="n">
        <v>2</v>
      </c>
      <c r="H16" s="10" t="n">
        <f aca="false">F16*G16</f>
        <v>4</v>
      </c>
      <c r="I16" s="10" t="str">
        <f aca="false">IF(H16&gt;=8,"Alta",IF(H16&gt;=4,"Media","Baja"))</f>
        <v>Media</v>
      </c>
      <c r="J16" s="8" t="s">
        <v>199</v>
      </c>
      <c r="K16" s="8" t="s">
        <v>393</v>
      </c>
      <c r="L16" s="8" t="s">
        <v>359</v>
      </c>
    </row>
    <row r="17" customFormat="false" ht="15" hidden="false" customHeight="false" outlineLevel="0" collapsed="false">
      <c r="A17" s="8" t="s">
        <v>137</v>
      </c>
      <c r="B17" s="8" t="s">
        <v>394</v>
      </c>
      <c r="C17" s="8" t="s">
        <v>395</v>
      </c>
      <c r="D17" s="8" t="s">
        <v>396</v>
      </c>
      <c r="E17" s="8" t="s">
        <v>397</v>
      </c>
      <c r="F17" s="9" t="n">
        <v>2</v>
      </c>
      <c r="G17" s="9" t="n">
        <v>2</v>
      </c>
      <c r="H17" s="10" t="n">
        <f aca="false">F17*G17</f>
        <v>4</v>
      </c>
      <c r="I17" s="10" t="str">
        <f aca="false">IF(H17&gt;=8,"Alta",IF(H17&gt;=4,"Media","Baja"))</f>
        <v>Media</v>
      </c>
      <c r="J17" s="8" t="s">
        <v>398</v>
      </c>
      <c r="K17" s="8" t="s">
        <v>143</v>
      </c>
      <c r="L17" s="8" t="s">
        <v>359</v>
      </c>
    </row>
    <row r="18" customFormat="false" ht="22.35" hidden="false" customHeight="false" outlineLevel="0" collapsed="false">
      <c r="A18" s="8" t="s">
        <v>399</v>
      </c>
      <c r="B18" s="8" t="s">
        <v>400</v>
      </c>
      <c r="C18" s="8" t="s">
        <v>401</v>
      </c>
      <c r="D18" s="8" t="s">
        <v>365</v>
      </c>
      <c r="E18" s="8" t="s">
        <v>402</v>
      </c>
      <c r="F18" s="9" t="n">
        <v>2</v>
      </c>
      <c r="G18" s="9" t="n">
        <v>3</v>
      </c>
      <c r="H18" s="10" t="n">
        <f aca="false">F18*G18</f>
        <v>6</v>
      </c>
      <c r="I18" s="10" t="str">
        <f aca="false">IF(H18&gt;=8,"Alta",IF(H18&gt;=4,"Media","Baja"))</f>
        <v>Media</v>
      </c>
      <c r="J18" s="8" t="s">
        <v>403</v>
      </c>
      <c r="K18" s="8" t="s">
        <v>260</v>
      </c>
      <c r="L18" s="8" t="s">
        <v>359</v>
      </c>
    </row>
    <row r="19" customFormat="false" ht="15" hidden="false" customHeight="false" outlineLevel="0" collapsed="false">
      <c r="A19" s="8" t="s">
        <v>65</v>
      </c>
      <c r="B19" s="8" t="s">
        <v>404</v>
      </c>
      <c r="C19" s="8" t="s">
        <v>405</v>
      </c>
      <c r="D19" s="8" t="s">
        <v>357</v>
      </c>
      <c r="E19" s="8" t="s">
        <v>406</v>
      </c>
      <c r="F19" s="9" t="n">
        <v>2</v>
      </c>
      <c r="G19" s="9" t="n">
        <v>1</v>
      </c>
      <c r="H19" s="10" t="n">
        <f aca="false">F19*G19</f>
        <v>2</v>
      </c>
      <c r="I19" s="10" t="str">
        <f aca="false">IF(H19&gt;=8,"Alta",IF(H19&gt;=4,"Media","Baja"))</f>
        <v>Baja</v>
      </c>
      <c r="J19" s="8" t="s">
        <v>407</v>
      </c>
      <c r="K19" s="8" t="s">
        <v>408</v>
      </c>
      <c r="L19" s="8" t="s">
        <v>409</v>
      </c>
    </row>
    <row r="20" customFormat="false" ht="15" hidden="false" customHeight="false" outlineLevel="0" collapsed="false">
      <c r="A20" s="8" t="s">
        <v>410</v>
      </c>
      <c r="B20" s="8" t="s">
        <v>411</v>
      </c>
      <c r="C20" s="8" t="s">
        <v>129</v>
      </c>
      <c r="D20" s="8" t="s">
        <v>412</v>
      </c>
      <c r="E20" s="8" t="s">
        <v>413</v>
      </c>
      <c r="F20" s="9" t="n">
        <v>2</v>
      </c>
      <c r="G20" s="9" t="n">
        <v>3</v>
      </c>
      <c r="H20" s="10" t="n">
        <f aca="false">F20*G20</f>
        <v>6</v>
      </c>
      <c r="I20" s="10" t="str">
        <f aca="false">IF(H20&gt;=8,"Alta",IF(H20&gt;=4,"Media","Baja"))</f>
        <v>Media</v>
      </c>
      <c r="J20" s="8" t="s">
        <v>149</v>
      </c>
      <c r="K20" s="8" t="s">
        <v>135</v>
      </c>
      <c r="L20" s="8" t="s">
        <v>359</v>
      </c>
    </row>
    <row r="22" customFormat="false" ht="15" hidden="false" customHeight="false" outlineLevel="0" collapsed="false">
      <c r="A22" s="2" t="s">
        <v>414</v>
      </c>
      <c r="C22" s="2" t="str">
        <f aca="false">COUNTIFS(I5:I20,"Alta",L5:L20,"Resuelto")&amp;" de "&amp;COUNTIF(I5:I20,"Alta")</f>
        <v>6 de 6</v>
      </c>
    </row>
    <row r="23" customFormat="false" ht="15" hidden="false" customHeight="false" outlineLevel="0" collapsed="false">
      <c r="A23" s="2" t="s">
        <v>415</v>
      </c>
      <c r="C23" s="2" t="str">
        <f aca="false">TEXT(COUNTIF(I5:I20,"Media")/COUNTIF(I5:I20,"Media"),"0%")&amp;" ("&amp;COUNTIFS(I5:I20,"Media",L5:L20,"Resuelto")&amp;" de "&amp;COUNTIF(I5:I20,"Media")&amp;" resueltos)"</f>
        <v>100% (9 de 9 resueltos)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52"/>
    <col collapsed="false" customWidth="true" hidden="false" outlineLevel="0" max="7" min="7" style="0" width="22"/>
  </cols>
  <sheetData>
    <row r="1" customFormat="false" ht="16.15" hidden="false" customHeight="false" outlineLevel="0" collapsed="false">
      <c r="A1" s="5" t="s">
        <v>416</v>
      </c>
    </row>
    <row r="4" customFormat="false" ht="15" hidden="false" customHeight="false" outlineLevel="0" collapsed="false">
      <c r="A4" s="7" t="s">
        <v>41</v>
      </c>
      <c r="B4" s="7" t="s">
        <v>39</v>
      </c>
      <c r="C4" s="7" t="s">
        <v>25</v>
      </c>
      <c r="D4" s="7" t="s">
        <v>417</v>
      </c>
      <c r="E4" s="7" t="s">
        <v>418</v>
      </c>
      <c r="F4" s="7" t="s">
        <v>419</v>
      </c>
      <c r="G4" s="7" t="s">
        <v>420</v>
      </c>
    </row>
    <row r="5" customFormat="false" ht="22.35" hidden="false" customHeight="false" outlineLevel="0" collapsed="false">
      <c r="A5" s="8" t="s">
        <v>135</v>
      </c>
      <c r="B5" s="8" t="s">
        <v>421</v>
      </c>
      <c r="C5" s="8" t="s">
        <v>422</v>
      </c>
      <c r="D5" s="8" t="s">
        <v>129</v>
      </c>
      <c r="E5" s="8" t="s">
        <v>423</v>
      </c>
      <c r="F5" s="8" t="s">
        <v>424</v>
      </c>
      <c r="G5" s="8" t="s">
        <v>425</v>
      </c>
    </row>
    <row r="6" customFormat="false" ht="15" hidden="false" customHeight="false" outlineLevel="0" collapsed="false">
      <c r="A6" s="8" t="s">
        <v>163</v>
      </c>
      <c r="B6" s="8" t="s">
        <v>421</v>
      </c>
      <c r="C6" s="8" t="s">
        <v>157</v>
      </c>
      <c r="D6" s="8" t="s">
        <v>158</v>
      </c>
      <c r="E6" s="8" t="s">
        <v>426</v>
      </c>
      <c r="F6" s="8" t="s">
        <v>427</v>
      </c>
      <c r="G6" s="8" t="s">
        <v>428</v>
      </c>
    </row>
    <row r="7" customFormat="false" ht="22.35" hidden="false" customHeight="false" outlineLevel="0" collapsed="false">
      <c r="A7" s="8" t="s">
        <v>55</v>
      </c>
      <c r="B7" s="8" t="s">
        <v>421</v>
      </c>
      <c r="C7" s="8" t="s">
        <v>429</v>
      </c>
      <c r="D7" s="8" t="s">
        <v>430</v>
      </c>
      <c r="E7" s="8" t="s">
        <v>431</v>
      </c>
      <c r="F7" s="8" t="s">
        <v>432</v>
      </c>
      <c r="G7" s="8" t="s">
        <v>433</v>
      </c>
    </row>
    <row r="8" customFormat="false" ht="15" hidden="false" customHeight="false" outlineLevel="0" collapsed="false">
      <c r="A8" s="8" t="s">
        <v>143</v>
      </c>
      <c r="B8" s="8" t="s">
        <v>421</v>
      </c>
      <c r="C8" s="8" t="s">
        <v>137</v>
      </c>
      <c r="D8" s="8" t="s">
        <v>395</v>
      </c>
      <c r="E8" s="8" t="s">
        <v>434</v>
      </c>
      <c r="F8" s="8" t="s">
        <v>435</v>
      </c>
      <c r="G8" s="8" t="s">
        <v>436</v>
      </c>
    </row>
    <row r="9" customFormat="false" ht="22.35" hidden="false" customHeight="false" outlineLevel="0" collapsed="false">
      <c r="A9" s="8" t="s">
        <v>72</v>
      </c>
      <c r="B9" s="8" t="s">
        <v>421</v>
      </c>
      <c r="C9" s="8" t="s">
        <v>65</v>
      </c>
      <c r="D9" s="8" t="s">
        <v>437</v>
      </c>
      <c r="E9" s="8" t="s">
        <v>438</v>
      </c>
      <c r="F9" s="8" t="s">
        <v>439</v>
      </c>
      <c r="G9" s="8" t="s">
        <v>440</v>
      </c>
    </row>
    <row r="10" customFormat="false" ht="15" hidden="false" customHeight="false" outlineLevel="0" collapsed="false">
      <c r="A10" s="8" t="s">
        <v>245</v>
      </c>
      <c r="B10" s="8" t="s">
        <v>250</v>
      </c>
      <c r="C10" s="8" t="s">
        <v>157</v>
      </c>
      <c r="D10" s="8" t="s">
        <v>240</v>
      </c>
      <c r="E10" s="8" t="s">
        <v>441</v>
      </c>
      <c r="F10" s="8" t="s">
        <v>442</v>
      </c>
      <c r="G10" s="8" t="s">
        <v>428</v>
      </c>
    </row>
    <row r="11" customFormat="false" ht="15" hidden="false" customHeight="false" outlineLevel="0" collapsed="false">
      <c r="A11" s="8" t="s">
        <v>185</v>
      </c>
      <c r="B11" s="8" t="s">
        <v>250</v>
      </c>
      <c r="C11" s="8" t="s">
        <v>177</v>
      </c>
      <c r="D11" s="8" t="s">
        <v>443</v>
      </c>
      <c r="E11" s="8" t="s">
        <v>444</v>
      </c>
      <c r="F11" s="8" t="s">
        <v>445</v>
      </c>
      <c r="G11" s="8" t="s">
        <v>446</v>
      </c>
    </row>
    <row r="12" customFormat="false" ht="22.35" hidden="false" customHeight="false" outlineLevel="0" collapsed="false">
      <c r="A12" s="8" t="s">
        <v>260</v>
      </c>
      <c r="B12" s="8" t="s">
        <v>250</v>
      </c>
      <c r="C12" s="8" t="s">
        <v>447</v>
      </c>
      <c r="D12" s="8" t="s">
        <v>448</v>
      </c>
      <c r="E12" s="8" t="s">
        <v>449</v>
      </c>
      <c r="F12" s="8" t="s">
        <v>450</v>
      </c>
      <c r="G12" s="8" t="s">
        <v>451</v>
      </c>
    </row>
    <row r="13" customFormat="false" ht="15" hidden="false" customHeight="false" outlineLevel="0" collapsed="false">
      <c r="A13" s="8" t="s">
        <v>200</v>
      </c>
      <c r="B13" s="8" t="s">
        <v>250</v>
      </c>
      <c r="C13" s="8" t="s">
        <v>58</v>
      </c>
      <c r="D13" s="8" t="s">
        <v>196</v>
      </c>
      <c r="E13" s="8" t="s">
        <v>452</v>
      </c>
      <c r="F13" s="8" t="s">
        <v>453</v>
      </c>
      <c r="G13" s="8" t="s">
        <v>454</v>
      </c>
    </row>
    <row r="14" customFormat="false" ht="15" hidden="false" customHeight="false" outlineLevel="0" collapsed="false">
      <c r="A14" s="8" t="s">
        <v>115</v>
      </c>
      <c r="B14" s="8" t="s">
        <v>250</v>
      </c>
      <c r="C14" s="8" t="s">
        <v>109</v>
      </c>
      <c r="D14" s="8" t="s">
        <v>110</v>
      </c>
      <c r="E14" s="8" t="s">
        <v>455</v>
      </c>
      <c r="F14" s="8" t="s">
        <v>456</v>
      </c>
      <c r="G14" s="8" t="s">
        <v>112</v>
      </c>
    </row>
    <row r="15" customFormat="false" ht="15" hidden="false" customHeight="false" outlineLevel="0" collapsed="false">
      <c r="A15" s="8" t="s">
        <v>298</v>
      </c>
      <c r="B15" s="8" t="s">
        <v>287</v>
      </c>
      <c r="C15" s="8" t="s">
        <v>293</v>
      </c>
      <c r="D15" s="8" t="s">
        <v>361</v>
      </c>
      <c r="E15" s="8" t="s">
        <v>457</v>
      </c>
      <c r="F15" s="8" t="s">
        <v>458</v>
      </c>
      <c r="G15" s="8" t="s">
        <v>459</v>
      </c>
    </row>
    <row r="16" customFormat="false" ht="22.35" hidden="false" customHeight="false" outlineLevel="0" collapsed="false">
      <c r="A16" s="8" t="s">
        <v>304</v>
      </c>
      <c r="B16" s="8" t="s">
        <v>287</v>
      </c>
      <c r="C16" s="8" t="s">
        <v>460</v>
      </c>
      <c r="D16" s="8" t="s">
        <v>461</v>
      </c>
      <c r="E16" s="8" t="s">
        <v>462</v>
      </c>
      <c r="F16" s="8" t="s">
        <v>463</v>
      </c>
      <c r="G16" s="8" t="s">
        <v>459</v>
      </c>
    </row>
    <row r="17" customFormat="false" ht="15" hidden="false" customHeight="false" outlineLevel="0" collapsed="false">
      <c r="A17" s="8" t="s">
        <v>315</v>
      </c>
      <c r="B17" s="8" t="s">
        <v>287</v>
      </c>
      <c r="C17" s="8" t="s">
        <v>58</v>
      </c>
      <c r="D17" s="8" t="s">
        <v>311</v>
      </c>
      <c r="E17" s="8" t="s">
        <v>464</v>
      </c>
      <c r="F17" s="8" t="s">
        <v>465</v>
      </c>
      <c r="G17" s="8" t="s">
        <v>466</v>
      </c>
    </row>
    <row r="18" customFormat="false" ht="22.35" hidden="false" customHeight="false" outlineLevel="0" collapsed="false">
      <c r="A18" s="8" t="s">
        <v>230</v>
      </c>
      <c r="B18" s="8" t="s">
        <v>287</v>
      </c>
      <c r="C18" s="8" t="s">
        <v>467</v>
      </c>
      <c r="D18" s="8" t="s">
        <v>468</v>
      </c>
      <c r="E18" s="8" t="s">
        <v>469</v>
      </c>
      <c r="F18" s="8" t="s">
        <v>470</v>
      </c>
      <c r="G18" s="8" t="s">
        <v>471</v>
      </c>
    </row>
    <row r="19" customFormat="false" ht="15" hidden="false" customHeight="false" outlineLevel="0" collapsed="false">
      <c r="A19" s="8" t="s">
        <v>207</v>
      </c>
      <c r="B19" s="8" t="s">
        <v>287</v>
      </c>
      <c r="C19" s="8" t="s">
        <v>202</v>
      </c>
      <c r="D19" s="8" t="s">
        <v>203</v>
      </c>
      <c r="E19" s="8" t="s">
        <v>472</v>
      </c>
      <c r="F19" s="8" t="s">
        <v>473</v>
      </c>
      <c r="G19" s="8" t="s">
        <v>454</v>
      </c>
    </row>
    <row r="21" customFormat="false" ht="15" hidden="false" customHeight="false" outlineLevel="0" collapsed="false">
      <c r="A21" s="2" t="s">
        <v>474</v>
      </c>
    </row>
    <row r="22" customFormat="false" ht="15" hidden="false" customHeight="false" outlineLevel="0" collapsed="false">
      <c r="A22" s="16" t="s">
        <v>421</v>
      </c>
      <c r="B22" s="16" t="n">
        <f aca="false">COUNTIF(B5:B19,A22)</f>
        <v>5</v>
      </c>
    </row>
    <row r="23" customFormat="false" ht="15" hidden="false" customHeight="false" outlineLevel="0" collapsed="false">
      <c r="A23" s="16" t="s">
        <v>250</v>
      </c>
      <c r="B23" s="16" t="n">
        <f aca="false">COUNTIF(B5:B19,A23)</f>
        <v>5</v>
      </c>
    </row>
    <row r="24" customFormat="false" ht="15" hidden="false" customHeight="false" outlineLevel="0" collapsed="false">
      <c r="A24" s="16" t="s">
        <v>287</v>
      </c>
      <c r="B24" s="16" t="n">
        <f aca="false">COUNTIF(B5:B19,A24)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90"/>
  </cols>
  <sheetData>
    <row r="1" customFormat="false" ht="16.15" hidden="false" customHeight="false" outlineLevel="0" collapsed="false">
      <c r="A1" s="5" t="s">
        <v>475</v>
      </c>
    </row>
    <row r="4" customFormat="false" ht="23.85" hidden="false" customHeight="false" outlineLevel="0" collapsed="false">
      <c r="A4" s="7" t="s">
        <v>27</v>
      </c>
      <c r="B4" s="7" t="s">
        <v>28</v>
      </c>
      <c r="C4" s="7" t="s">
        <v>29</v>
      </c>
      <c r="D4" s="7" t="s">
        <v>476</v>
      </c>
      <c r="E4" s="7" t="s">
        <v>420</v>
      </c>
    </row>
    <row r="5" customFormat="false" ht="22.35" hidden="false" customHeight="false" outlineLevel="0" collapsed="false">
      <c r="A5" s="8" t="s">
        <v>477</v>
      </c>
      <c r="B5" s="8" t="s">
        <v>478</v>
      </c>
      <c r="C5" s="8" t="s">
        <v>81</v>
      </c>
      <c r="D5" s="8" t="s">
        <v>56</v>
      </c>
      <c r="E5" s="8" t="s">
        <v>479</v>
      </c>
    </row>
    <row r="6" customFormat="false" ht="15" hidden="false" customHeight="false" outlineLevel="0" collapsed="false">
      <c r="A6" s="8" t="s">
        <v>480</v>
      </c>
      <c r="B6" s="8" t="s">
        <v>481</v>
      </c>
      <c r="C6" s="8" t="s">
        <v>81</v>
      </c>
      <c r="D6" s="8" t="s">
        <v>64</v>
      </c>
      <c r="E6" s="8" t="s">
        <v>482</v>
      </c>
    </row>
    <row r="7" customFormat="false" ht="22.35" hidden="false" customHeight="false" outlineLevel="0" collapsed="false">
      <c r="A7" s="8" t="s">
        <v>483</v>
      </c>
      <c r="B7" s="8" t="s">
        <v>484</v>
      </c>
      <c r="C7" s="8" t="s">
        <v>81</v>
      </c>
      <c r="D7" s="8" t="s">
        <v>56</v>
      </c>
      <c r="E7" s="8" t="s">
        <v>485</v>
      </c>
    </row>
    <row r="8" customFormat="false" ht="22.35" hidden="false" customHeight="false" outlineLevel="0" collapsed="false">
      <c r="A8" s="8" t="s">
        <v>486</v>
      </c>
      <c r="B8" s="8" t="s">
        <v>487</v>
      </c>
      <c r="C8" s="8" t="s">
        <v>48</v>
      </c>
      <c r="D8" s="8" t="s">
        <v>56</v>
      </c>
      <c r="E8" s="8" t="s">
        <v>488</v>
      </c>
    </row>
    <row r="9" customFormat="false" ht="15" hidden="false" customHeight="false" outlineLevel="0" collapsed="false">
      <c r="A9" s="8" t="s">
        <v>489</v>
      </c>
      <c r="B9" s="8" t="s">
        <v>490</v>
      </c>
      <c r="C9" s="8" t="s">
        <v>48</v>
      </c>
      <c r="D9" s="8" t="s">
        <v>56</v>
      </c>
      <c r="E9" s="8" t="s">
        <v>491</v>
      </c>
    </row>
    <row r="10" customFormat="false" ht="15" hidden="false" customHeight="false" outlineLevel="0" collapsed="false">
      <c r="A10" s="8" t="s">
        <v>492</v>
      </c>
      <c r="B10" s="8" t="s">
        <v>493</v>
      </c>
      <c r="C10" s="8" t="s">
        <v>81</v>
      </c>
      <c r="D10" s="8" t="s">
        <v>64</v>
      </c>
      <c r="E10" s="8" t="s">
        <v>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4"/>
    <col collapsed="false" customWidth="true" hidden="false" outlineLevel="0" max="4" min="4" style="0" width="6"/>
  </cols>
  <sheetData>
    <row r="1" customFormat="false" ht="16.15" hidden="false" customHeight="false" outlineLevel="0" collapsed="false">
      <c r="A1" s="5" t="s">
        <v>495</v>
      </c>
    </row>
    <row r="2" customFormat="false" ht="15" hidden="false" customHeight="false" outlineLevel="0" collapsed="false">
      <c r="A2" s="6" t="s">
        <v>496</v>
      </c>
    </row>
    <row r="4" customFormat="false" ht="23.85" hidden="false" customHeight="false" outlineLevel="0" collapsed="false">
      <c r="A4" s="7" t="s">
        <v>497</v>
      </c>
      <c r="B4" s="7" t="s">
        <v>498</v>
      </c>
      <c r="C4" s="7" t="s">
        <v>499</v>
      </c>
      <c r="D4" s="7" t="s">
        <v>500</v>
      </c>
    </row>
    <row r="5" customFormat="false" ht="15" hidden="false" customHeight="false" outlineLevel="0" collapsed="false">
      <c r="A5" s="17" t="s">
        <v>501</v>
      </c>
      <c r="B5" s="18" t="n">
        <v>0.6</v>
      </c>
      <c r="C5" s="19" t="n">
        <v>95</v>
      </c>
      <c r="D5" s="19" t="n">
        <v>5</v>
      </c>
    </row>
    <row r="6" customFormat="false" ht="15" hidden="false" customHeight="false" outlineLevel="0" collapsed="false">
      <c r="A6" s="17" t="s">
        <v>502</v>
      </c>
      <c r="B6" s="18" t="n">
        <v>0.8</v>
      </c>
      <c r="C6" s="19" t="n">
        <v>70</v>
      </c>
      <c r="D6" s="19" t="n">
        <v>5</v>
      </c>
    </row>
    <row r="7" customFormat="false" ht="15" hidden="false" customHeight="false" outlineLevel="0" collapsed="false">
      <c r="A7" s="17" t="s">
        <v>503</v>
      </c>
      <c r="B7" s="18" t="n">
        <v>0.4</v>
      </c>
      <c r="C7" s="19" t="n">
        <v>210</v>
      </c>
      <c r="D7" s="19" t="n">
        <v>5</v>
      </c>
    </row>
    <row r="8" customFormat="false" ht="15" hidden="false" customHeight="false" outlineLevel="0" collapsed="false">
      <c r="A8" s="17" t="s">
        <v>504</v>
      </c>
      <c r="B8" s="19" t="n">
        <v>61.5</v>
      </c>
      <c r="C8" s="19"/>
      <c r="D8" s="19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36"/>
    <col collapsed="false" customWidth="true" hidden="false" outlineLevel="0" max="5" min="5" style="0" width="30"/>
    <col collapsed="false" customWidth="true" hidden="false" outlineLevel="0" max="6" min="6" style="0" width="9"/>
    <col collapsed="false" customWidth="true" hidden="false" outlineLevel="0" max="12" min="7" style="0" width="13"/>
  </cols>
  <sheetData>
    <row r="1" customFormat="false" ht="16.15" hidden="false" customHeight="false" outlineLevel="0" collapsed="false">
      <c r="A1" s="5" t="s">
        <v>505</v>
      </c>
    </row>
    <row r="2" customFormat="false" ht="15" hidden="false" customHeight="false" outlineLevel="0" collapsed="false">
      <c r="A2" s="6" t="s">
        <v>506</v>
      </c>
    </row>
    <row r="4" customFormat="false" ht="15" hidden="false" customHeight="false" outlineLevel="0" collapsed="false">
      <c r="A4" s="7" t="s">
        <v>507</v>
      </c>
      <c r="B4" s="7" t="s">
        <v>508</v>
      </c>
      <c r="C4" s="7" t="s">
        <v>509</v>
      </c>
      <c r="D4" s="7" t="s">
        <v>510</v>
      </c>
      <c r="E4" s="7" t="s">
        <v>511</v>
      </c>
      <c r="F4" s="7" t="s">
        <v>512</v>
      </c>
    </row>
    <row r="5" customFormat="false" ht="15" hidden="false" customHeight="false" outlineLevel="0" collapsed="false">
      <c r="A5" s="17" t="s">
        <v>513</v>
      </c>
      <c r="B5" s="17" t="s">
        <v>514</v>
      </c>
      <c r="C5" s="17" t="s">
        <v>515</v>
      </c>
      <c r="D5" s="17" t="s">
        <v>516</v>
      </c>
      <c r="E5" s="17" t="s">
        <v>517</v>
      </c>
      <c r="F5" s="17" t="n">
        <v>58</v>
      </c>
    </row>
    <row r="6" customFormat="false" ht="15" hidden="false" customHeight="false" outlineLevel="0" collapsed="false">
      <c r="A6" s="17" t="s">
        <v>518</v>
      </c>
      <c r="B6" s="17" t="s">
        <v>514</v>
      </c>
      <c r="C6" s="17" t="s">
        <v>519</v>
      </c>
      <c r="D6" s="17" t="s">
        <v>520</v>
      </c>
      <c r="E6" s="17" t="s">
        <v>521</v>
      </c>
      <c r="F6" s="17" t="n">
        <v>34</v>
      </c>
    </row>
    <row r="7" customFormat="false" ht="15" hidden="false" customHeight="false" outlineLevel="0" collapsed="false">
      <c r="A7" s="17" t="s">
        <v>522</v>
      </c>
      <c r="B7" s="17" t="s">
        <v>514</v>
      </c>
      <c r="C7" s="17" t="s">
        <v>523</v>
      </c>
      <c r="D7" s="17" t="s">
        <v>524</v>
      </c>
      <c r="E7" s="17" t="s">
        <v>517</v>
      </c>
      <c r="F7" s="17" t="n">
        <v>22</v>
      </c>
    </row>
    <row r="8" customFormat="false" ht="15" hidden="false" customHeight="false" outlineLevel="0" collapsed="false">
      <c r="A8" s="17" t="s">
        <v>525</v>
      </c>
      <c r="B8" s="17" t="s">
        <v>526</v>
      </c>
      <c r="C8" s="17" t="s">
        <v>527</v>
      </c>
      <c r="D8" s="17" t="s">
        <v>528</v>
      </c>
      <c r="E8" s="17" t="s">
        <v>529</v>
      </c>
      <c r="F8" s="17" t="n">
        <v>21</v>
      </c>
    </row>
    <row r="9" customFormat="false" ht="15" hidden="false" customHeight="false" outlineLevel="0" collapsed="false">
      <c r="A9" s="17" t="s">
        <v>530</v>
      </c>
      <c r="B9" s="17" t="s">
        <v>531</v>
      </c>
      <c r="C9" s="17" t="s">
        <v>532</v>
      </c>
      <c r="D9" s="17" t="s">
        <v>533</v>
      </c>
      <c r="E9" s="17" t="s">
        <v>517</v>
      </c>
      <c r="F9" s="17" t="n">
        <v>41</v>
      </c>
    </row>
    <row r="10" customFormat="false" ht="15" hidden="false" customHeight="false" outlineLevel="0" collapsed="false">
      <c r="A10" s="17" t="s">
        <v>534</v>
      </c>
      <c r="B10" s="17" t="s">
        <v>535</v>
      </c>
      <c r="C10" s="17" t="s">
        <v>536</v>
      </c>
      <c r="D10" s="17" t="s">
        <v>537</v>
      </c>
      <c r="E10" s="17" t="s">
        <v>517</v>
      </c>
      <c r="F10" s="17" t="n">
        <v>67</v>
      </c>
    </row>
    <row r="12" customFormat="false" ht="15" hidden="false" customHeight="false" outlineLevel="0" collapsed="false">
      <c r="A12" s="20" t="s">
        <v>538</v>
      </c>
    </row>
    <row r="13" customFormat="false" ht="15" hidden="false" customHeight="false" outlineLevel="0" collapsed="false">
      <c r="A13" s="21" t="s">
        <v>497</v>
      </c>
      <c r="B13" s="21" t="s">
        <v>507</v>
      </c>
      <c r="C13" s="21" t="s">
        <v>539</v>
      </c>
      <c r="D13" s="21" t="s">
        <v>540</v>
      </c>
      <c r="E13" s="21" t="s">
        <v>541</v>
      </c>
      <c r="F13" s="21" t="s">
        <v>542</v>
      </c>
    </row>
    <row r="14" customFormat="false" ht="15" hidden="false" customHeight="false" outlineLevel="0" collapsed="false">
      <c r="A14" s="22" t="s">
        <v>501</v>
      </c>
      <c r="B14" s="22" t="s">
        <v>513</v>
      </c>
      <c r="C14" s="23" t="s">
        <v>354</v>
      </c>
      <c r="D14" s="23" t="n">
        <v>78</v>
      </c>
      <c r="E14" s="23" t="n">
        <v>0</v>
      </c>
      <c r="F14" s="23" t="n">
        <v>6</v>
      </c>
    </row>
    <row r="15" customFormat="false" ht="15" hidden="false" customHeight="false" outlineLevel="0" collapsed="false">
      <c r="A15" s="22" t="s">
        <v>501</v>
      </c>
      <c r="B15" s="22" t="s">
        <v>518</v>
      </c>
      <c r="C15" s="23" t="s">
        <v>354</v>
      </c>
      <c r="D15" s="23" t="n">
        <v>142</v>
      </c>
      <c r="E15" s="23" t="n">
        <v>1</v>
      </c>
      <c r="F15" s="23" t="n">
        <v>5</v>
      </c>
    </row>
    <row r="16" customFormat="false" ht="15" hidden="false" customHeight="false" outlineLevel="0" collapsed="false">
      <c r="A16" s="22" t="s">
        <v>501</v>
      </c>
      <c r="B16" s="22" t="s">
        <v>522</v>
      </c>
      <c r="C16" s="23" t="s">
        <v>354</v>
      </c>
      <c r="D16" s="23" t="n">
        <v>41</v>
      </c>
      <c r="E16" s="23" t="n">
        <v>0</v>
      </c>
      <c r="F16" s="23" t="n">
        <v>7</v>
      </c>
    </row>
    <row r="17" customFormat="false" ht="15" hidden="false" customHeight="false" outlineLevel="0" collapsed="false">
      <c r="A17" s="22" t="s">
        <v>501</v>
      </c>
      <c r="B17" s="22" t="s">
        <v>525</v>
      </c>
      <c r="C17" s="23" t="s">
        <v>354</v>
      </c>
      <c r="D17" s="23" t="n">
        <v>66</v>
      </c>
      <c r="E17" s="23" t="n">
        <v>0</v>
      </c>
      <c r="F17" s="23" t="n">
        <v>6</v>
      </c>
    </row>
    <row r="18" customFormat="false" ht="15" hidden="false" customHeight="false" outlineLevel="0" collapsed="false">
      <c r="A18" s="22" t="s">
        <v>501</v>
      </c>
      <c r="B18" s="22" t="s">
        <v>530</v>
      </c>
      <c r="C18" s="23" t="s">
        <v>354</v>
      </c>
      <c r="D18" s="23" t="n">
        <v>38</v>
      </c>
      <c r="E18" s="23" t="n">
        <v>0</v>
      </c>
      <c r="F18" s="23" t="n">
        <v>7</v>
      </c>
    </row>
    <row r="19" customFormat="false" ht="15" hidden="false" customHeight="false" outlineLevel="0" collapsed="false">
      <c r="A19" s="22" t="s">
        <v>501</v>
      </c>
      <c r="B19" s="22" t="s">
        <v>534</v>
      </c>
      <c r="C19" s="23" t="s">
        <v>543</v>
      </c>
      <c r="D19" s="23" t="n">
        <v>121</v>
      </c>
      <c r="E19" s="23" t="n">
        <v>2</v>
      </c>
      <c r="F19" s="23" t="n">
        <v>4</v>
      </c>
    </row>
    <row r="20" customFormat="false" ht="15" hidden="false" customHeight="false" outlineLevel="0" collapsed="false">
      <c r="A20" s="22" t="s">
        <v>502</v>
      </c>
      <c r="B20" s="22" t="s">
        <v>513</v>
      </c>
      <c r="C20" s="23" t="s">
        <v>354</v>
      </c>
      <c r="D20" s="23" t="n">
        <v>64</v>
      </c>
      <c r="E20" s="23" t="n">
        <v>0</v>
      </c>
      <c r="F20" s="23" t="n">
        <v>6</v>
      </c>
    </row>
    <row r="21" customFormat="false" ht="15" hidden="false" customHeight="false" outlineLevel="0" collapsed="false">
      <c r="A21" s="22" t="s">
        <v>502</v>
      </c>
      <c r="B21" s="22" t="s">
        <v>518</v>
      </c>
      <c r="C21" s="23" t="s">
        <v>354</v>
      </c>
      <c r="D21" s="23" t="n">
        <v>118</v>
      </c>
      <c r="E21" s="23" t="n">
        <v>0</v>
      </c>
      <c r="F21" s="23" t="n">
        <v>5</v>
      </c>
    </row>
    <row r="22" customFormat="false" ht="15" hidden="false" customHeight="false" outlineLevel="0" collapsed="false">
      <c r="A22" s="22" t="s">
        <v>502</v>
      </c>
      <c r="B22" s="22" t="s">
        <v>522</v>
      </c>
      <c r="C22" s="23" t="s">
        <v>354</v>
      </c>
      <c r="D22" s="23" t="n">
        <v>35</v>
      </c>
      <c r="E22" s="23" t="n">
        <v>0</v>
      </c>
      <c r="F22" s="23" t="n">
        <v>7</v>
      </c>
    </row>
    <row r="23" customFormat="false" ht="15" hidden="false" customHeight="false" outlineLevel="0" collapsed="false">
      <c r="A23" s="22" t="s">
        <v>502</v>
      </c>
      <c r="B23" s="22" t="s">
        <v>525</v>
      </c>
      <c r="C23" s="23" t="s">
        <v>354</v>
      </c>
      <c r="D23" s="23" t="n">
        <v>52</v>
      </c>
      <c r="E23" s="23" t="n">
        <v>0</v>
      </c>
      <c r="F23" s="23" t="n">
        <v>6</v>
      </c>
    </row>
    <row r="24" customFormat="false" ht="15" hidden="false" customHeight="false" outlineLevel="0" collapsed="false">
      <c r="A24" s="22" t="s">
        <v>502</v>
      </c>
      <c r="B24" s="22" t="s">
        <v>530</v>
      </c>
      <c r="C24" s="23" t="s">
        <v>354</v>
      </c>
      <c r="D24" s="23" t="n">
        <v>33</v>
      </c>
      <c r="E24" s="23" t="n">
        <v>0</v>
      </c>
      <c r="F24" s="23" t="n">
        <v>7</v>
      </c>
    </row>
    <row r="25" customFormat="false" ht="15" hidden="false" customHeight="false" outlineLevel="0" collapsed="false">
      <c r="A25" s="22" t="s">
        <v>502</v>
      </c>
      <c r="B25" s="22" t="s">
        <v>534</v>
      </c>
      <c r="C25" s="23" t="s">
        <v>354</v>
      </c>
      <c r="D25" s="23" t="n">
        <v>97</v>
      </c>
      <c r="E25" s="23" t="n">
        <v>1</v>
      </c>
      <c r="F25" s="23" t="n">
        <v>5</v>
      </c>
    </row>
    <row r="26" customFormat="false" ht="15" hidden="false" customHeight="false" outlineLevel="0" collapsed="false">
      <c r="A26" s="22" t="s">
        <v>503</v>
      </c>
      <c r="B26" s="22" t="s">
        <v>513</v>
      </c>
      <c r="C26" s="23" t="s">
        <v>354</v>
      </c>
      <c r="D26" s="23" t="n">
        <v>155</v>
      </c>
      <c r="E26" s="23" t="n">
        <v>1</v>
      </c>
      <c r="F26" s="23" t="n">
        <v>5</v>
      </c>
    </row>
    <row r="27" customFormat="false" ht="15" hidden="false" customHeight="false" outlineLevel="0" collapsed="false">
      <c r="A27" s="22" t="s">
        <v>503</v>
      </c>
      <c r="B27" s="22" t="s">
        <v>518</v>
      </c>
      <c r="C27" s="23" t="s">
        <v>354</v>
      </c>
      <c r="D27" s="23" t="n">
        <v>236</v>
      </c>
      <c r="E27" s="23" t="n">
        <v>2</v>
      </c>
      <c r="F27" s="23" t="n">
        <v>4</v>
      </c>
    </row>
    <row r="28" customFormat="false" ht="15" hidden="false" customHeight="false" outlineLevel="0" collapsed="false">
      <c r="A28" s="22" t="s">
        <v>503</v>
      </c>
      <c r="B28" s="22" t="s">
        <v>522</v>
      </c>
      <c r="C28" s="23" t="s">
        <v>354</v>
      </c>
      <c r="D28" s="23" t="n">
        <v>92</v>
      </c>
      <c r="E28" s="23" t="n">
        <v>0</v>
      </c>
      <c r="F28" s="23" t="n">
        <v>6</v>
      </c>
    </row>
    <row r="29" customFormat="false" ht="15" hidden="false" customHeight="false" outlineLevel="0" collapsed="false">
      <c r="A29" s="22" t="s">
        <v>503</v>
      </c>
      <c r="B29" s="22" t="s">
        <v>525</v>
      </c>
      <c r="C29" s="23" t="s">
        <v>354</v>
      </c>
      <c r="D29" s="23" t="n">
        <v>128</v>
      </c>
      <c r="E29" s="23" t="n">
        <v>1</v>
      </c>
      <c r="F29" s="23" t="n">
        <v>5</v>
      </c>
    </row>
    <row r="30" customFormat="false" ht="15" hidden="false" customHeight="false" outlineLevel="0" collapsed="false">
      <c r="A30" s="22" t="s">
        <v>503</v>
      </c>
      <c r="B30" s="22" t="s">
        <v>530</v>
      </c>
      <c r="C30" s="23" t="s">
        <v>354</v>
      </c>
      <c r="D30" s="23" t="n">
        <v>84</v>
      </c>
      <c r="E30" s="23" t="n">
        <v>0</v>
      </c>
      <c r="F30" s="23" t="n">
        <v>6</v>
      </c>
    </row>
    <row r="31" customFormat="false" ht="15" hidden="false" customHeight="false" outlineLevel="0" collapsed="false">
      <c r="A31" s="22" t="s">
        <v>503</v>
      </c>
      <c r="B31" s="22" t="s">
        <v>534</v>
      </c>
      <c r="C31" s="23" t="s">
        <v>354</v>
      </c>
      <c r="D31" s="23" t="n">
        <v>198</v>
      </c>
      <c r="E31" s="23" t="n">
        <v>2</v>
      </c>
      <c r="F31" s="23" t="n">
        <v>4</v>
      </c>
    </row>
    <row r="32" customFormat="false" ht="15" hidden="false" customHeight="false" outlineLevel="0" collapsed="false">
      <c r="A32" s="22" t="s">
        <v>544</v>
      </c>
      <c r="B32" s="22" t="s">
        <v>513</v>
      </c>
      <c r="C32" s="23" t="s">
        <v>354</v>
      </c>
      <c r="D32" s="23" t="n">
        <v>96</v>
      </c>
      <c r="E32" s="23" t="n">
        <v>1</v>
      </c>
      <c r="F32" s="23" t="n">
        <v>6</v>
      </c>
    </row>
    <row r="33" customFormat="false" ht="15" hidden="false" customHeight="false" outlineLevel="0" collapsed="false">
      <c r="A33" s="22" t="s">
        <v>544</v>
      </c>
      <c r="B33" s="22" t="s">
        <v>518</v>
      </c>
      <c r="C33" s="23" t="s">
        <v>543</v>
      </c>
      <c r="D33" s="23" t="n">
        <v>171</v>
      </c>
      <c r="E33" s="23" t="n">
        <v>2</v>
      </c>
      <c r="F33" s="23" t="n">
        <v>4</v>
      </c>
    </row>
    <row r="34" customFormat="false" ht="15" hidden="false" customHeight="false" outlineLevel="0" collapsed="false">
      <c r="A34" s="22" t="s">
        <v>544</v>
      </c>
      <c r="B34" s="22" t="s">
        <v>522</v>
      </c>
      <c r="C34" s="23" t="s">
        <v>354</v>
      </c>
      <c r="D34" s="23" t="n">
        <v>58</v>
      </c>
      <c r="E34" s="23" t="n">
        <v>1</v>
      </c>
      <c r="F34" s="23" t="n">
        <v>6</v>
      </c>
    </row>
    <row r="35" customFormat="false" ht="15" hidden="false" customHeight="false" outlineLevel="0" collapsed="false">
      <c r="A35" s="22" t="s">
        <v>544</v>
      </c>
      <c r="B35" s="22" t="s">
        <v>525</v>
      </c>
      <c r="C35" s="23" t="s">
        <v>354</v>
      </c>
      <c r="D35" s="23" t="n">
        <v>74</v>
      </c>
      <c r="E35" s="23" t="n">
        <v>1</v>
      </c>
      <c r="F35" s="23" t="n">
        <v>6</v>
      </c>
    </row>
    <row r="36" customFormat="false" ht="15" hidden="false" customHeight="false" outlineLevel="0" collapsed="false">
      <c r="A36" s="22" t="s">
        <v>544</v>
      </c>
      <c r="B36" s="22" t="s">
        <v>530</v>
      </c>
      <c r="C36" s="23" t="s">
        <v>354</v>
      </c>
      <c r="D36" s="23" t="n">
        <v>51</v>
      </c>
      <c r="E36" s="23" t="n">
        <v>1</v>
      </c>
      <c r="F36" s="23" t="n">
        <v>7</v>
      </c>
    </row>
    <row r="37" customFormat="false" ht="15" hidden="false" customHeight="false" outlineLevel="0" collapsed="false">
      <c r="A37" s="22" t="s">
        <v>544</v>
      </c>
      <c r="B37" s="22" t="s">
        <v>534</v>
      </c>
      <c r="C37" s="23" t="s">
        <v>354</v>
      </c>
      <c r="D37" s="23" t="n">
        <v>133</v>
      </c>
      <c r="E37" s="23" t="n">
        <v>2</v>
      </c>
      <c r="F37" s="23" t="n">
        <v>5</v>
      </c>
    </row>
    <row r="39" customFormat="false" ht="15" hidden="false" customHeight="false" outlineLevel="0" collapsed="false">
      <c r="A39" s="20" t="s">
        <v>545</v>
      </c>
    </row>
    <row r="40" customFormat="false" ht="23.85" hidden="false" customHeight="false" outlineLevel="0" collapsed="false">
      <c r="A40" s="24" t="s">
        <v>497</v>
      </c>
      <c r="B40" s="24" t="s">
        <v>546</v>
      </c>
      <c r="C40" s="24" t="s">
        <v>547</v>
      </c>
      <c r="D40" s="24" t="s">
        <v>548</v>
      </c>
      <c r="E40" s="24" t="s">
        <v>549</v>
      </c>
      <c r="F40" s="24" t="s">
        <v>550</v>
      </c>
      <c r="G40" s="24" t="s">
        <v>551</v>
      </c>
      <c r="H40" s="24" t="s">
        <v>552</v>
      </c>
    </row>
    <row r="41" customFormat="false" ht="15" hidden="false" customHeight="false" outlineLevel="0" collapsed="false">
      <c r="A41" s="12" t="s">
        <v>501</v>
      </c>
      <c r="B41" s="25" t="n">
        <f aca="false">COUNTIFS($A$14:$A$37,A41,$C$14:$C$37,"S")/COUNTIF($A$14:$A$37,A41)</f>
        <v>0.833333333333333</v>
      </c>
      <c r="C41" s="25" t="n">
        <f aca="false">'Línea base APF2 (EJEMPLO)'!B5</f>
        <v>0.6</v>
      </c>
      <c r="D41" s="26" t="n">
        <f aca="false">(B41-C41)*100</f>
        <v>23.3333333333333</v>
      </c>
      <c r="E41" s="12" t="n">
        <f aca="false" t="array" ref="E41:E41">MEDIAN(IF($A$14:$A$37=A41,$D$14:$D$37))</f>
        <v>72</v>
      </c>
      <c r="F41" s="12" t="n">
        <f aca="false">'Línea base APF2 (EJEMPLO)'!C5</f>
        <v>95</v>
      </c>
      <c r="G41" s="27" t="n">
        <f aca="false">AVERAGEIF($A$14:$A$37,A41,$F$14:$F$37)</f>
        <v>5.83333333333333</v>
      </c>
      <c r="H41" s="27" t="n">
        <f aca="false">AVERAGEIF($A$14:$A$37,A41,$E$14:$E$37)</f>
        <v>0.5</v>
      </c>
    </row>
    <row r="42" customFormat="false" ht="15" hidden="false" customHeight="false" outlineLevel="0" collapsed="false">
      <c r="A42" s="12" t="s">
        <v>502</v>
      </c>
      <c r="B42" s="25" t="n">
        <f aca="false">COUNTIFS($A$14:$A$37,A42,$C$14:$C$37,"S")/COUNTIF($A$14:$A$37,A42)</f>
        <v>1</v>
      </c>
      <c r="C42" s="25" t="n">
        <f aca="false">'Línea base APF2 (EJEMPLO)'!B6</f>
        <v>0.8</v>
      </c>
      <c r="D42" s="26" t="n">
        <f aca="false">(B42-C42)*100</f>
        <v>20</v>
      </c>
      <c r="E42" s="12" t="n">
        <f aca="false" t="array" ref="E42:E42">MEDIAN(IF($A$14:$A$37=A42,$D$14:$D$37))</f>
        <v>58</v>
      </c>
      <c r="F42" s="12" t="n">
        <f aca="false">'Línea base APF2 (EJEMPLO)'!C6</f>
        <v>70</v>
      </c>
      <c r="G42" s="27" t="n">
        <f aca="false">AVERAGEIF($A$14:$A$37,A42,$F$14:$F$37)</f>
        <v>6</v>
      </c>
      <c r="H42" s="27" t="n">
        <f aca="false">AVERAGEIF($A$14:$A$37,A42,$E$14:$E$37)</f>
        <v>0.166666666666667</v>
      </c>
    </row>
    <row r="43" customFormat="false" ht="15" hidden="false" customHeight="false" outlineLevel="0" collapsed="false">
      <c r="A43" s="12" t="s">
        <v>503</v>
      </c>
      <c r="B43" s="25" t="n">
        <f aca="false">COUNTIFS($A$14:$A$37,A43,$C$14:$C$37,"S")/COUNTIF($A$14:$A$37,A43)</f>
        <v>1</v>
      </c>
      <c r="C43" s="25" t="n">
        <f aca="false">'Línea base APF2 (EJEMPLO)'!B7</f>
        <v>0.4</v>
      </c>
      <c r="D43" s="26" t="n">
        <f aca="false">(B43-C43)*100</f>
        <v>60</v>
      </c>
      <c r="E43" s="12" t="n">
        <f aca="false" t="array" ref="E43:E43">MEDIAN(IF($A$14:$A$37=A43,$D$14:$D$37))</f>
        <v>141.5</v>
      </c>
      <c r="F43" s="12" t="n">
        <f aca="false">'Línea base APF2 (EJEMPLO)'!C7</f>
        <v>210</v>
      </c>
      <c r="G43" s="27" t="n">
        <f aca="false">AVERAGEIF($A$14:$A$37,A43,$F$14:$F$37)</f>
        <v>5</v>
      </c>
      <c r="H43" s="27" t="n">
        <f aca="false">AVERAGEIF($A$14:$A$37,A43,$E$14:$E$37)</f>
        <v>1</v>
      </c>
    </row>
    <row r="44" customFormat="false" ht="15" hidden="false" customHeight="false" outlineLevel="0" collapsed="false">
      <c r="A44" s="12" t="s">
        <v>544</v>
      </c>
      <c r="B44" s="25" t="n">
        <f aca="false">COUNTIFS($A$14:$A$37,A44,$C$14:$C$37,"S")/COUNTIF($A$14:$A$37,A44)</f>
        <v>0.833333333333333</v>
      </c>
      <c r="C44" s="25" t="s">
        <v>553</v>
      </c>
      <c r="D44" s="26" t="s">
        <v>58</v>
      </c>
      <c r="E44" s="12" t="n">
        <f aca="false" t="array" ref="E44:E44">MEDIAN(IF($A$14:$A$37=A44,$D$14:$D$37))</f>
        <v>85</v>
      </c>
      <c r="F44" s="12" t="s">
        <v>58</v>
      </c>
      <c r="G44" s="27" t="n">
        <f aca="false">AVERAGEIF($A$14:$A$37,A44,$F$14:$F$37)</f>
        <v>5.66666666666667</v>
      </c>
      <c r="H44" s="27" t="n">
        <f aca="false">AVERAGEIF($A$14:$A$37,A44,$E$14:$E$37)</f>
        <v>1.33333333333333</v>
      </c>
    </row>
    <row r="45" customFormat="false" ht="15" hidden="false" customHeight="false" outlineLevel="0" collapsed="false">
      <c r="A45" s="2" t="s">
        <v>554</v>
      </c>
      <c r="B45" s="28" t="n">
        <f aca="false">COUNTIF($C$14:$C$37,"S")/COUNTA($C$14:$C$37)</f>
        <v>0.916666666666667</v>
      </c>
    </row>
    <row r="47" customFormat="false" ht="15" hidden="false" customHeight="false" outlineLevel="0" collapsed="false">
      <c r="A47" s="20" t="s">
        <v>555</v>
      </c>
    </row>
    <row r="48" customFormat="false" ht="15" hidden="false" customHeight="false" outlineLevel="0" collapsed="false">
      <c r="A48" s="21" t="s">
        <v>507</v>
      </c>
      <c r="B48" s="21" t="s">
        <v>556</v>
      </c>
      <c r="C48" s="21" t="s">
        <v>557</v>
      </c>
      <c r="D48" s="21" t="s">
        <v>558</v>
      </c>
      <c r="E48" s="21" t="s">
        <v>559</v>
      </c>
      <c r="F48" s="21" t="s">
        <v>560</v>
      </c>
      <c r="G48" s="21" t="s">
        <v>561</v>
      </c>
      <c r="H48" s="21" t="s">
        <v>562</v>
      </c>
      <c r="I48" s="21" t="s">
        <v>563</v>
      </c>
      <c r="J48" s="21" t="s">
        <v>564</v>
      </c>
      <c r="K48" s="21" t="s">
        <v>565</v>
      </c>
      <c r="L48" s="21" t="s">
        <v>566</v>
      </c>
    </row>
    <row r="49" customFormat="false" ht="15" hidden="false" customHeight="false" outlineLevel="0" collapsed="false">
      <c r="A49" s="29" t="s">
        <v>513</v>
      </c>
      <c r="B49" s="23" t="n">
        <v>5</v>
      </c>
      <c r="C49" s="23" t="n">
        <v>2</v>
      </c>
      <c r="D49" s="23" t="n">
        <v>4</v>
      </c>
      <c r="E49" s="23" t="n">
        <v>2</v>
      </c>
      <c r="F49" s="23" t="n">
        <v>4</v>
      </c>
      <c r="G49" s="23" t="n">
        <v>2</v>
      </c>
      <c r="H49" s="23" t="n">
        <v>4</v>
      </c>
      <c r="I49" s="23" t="n">
        <v>2</v>
      </c>
      <c r="J49" s="23" t="n">
        <v>4</v>
      </c>
      <c r="K49" s="23" t="n">
        <v>2</v>
      </c>
      <c r="L49" s="30" t="n">
        <f aca="false">2.5*((B49-1)+(5-C49)+(D49-1)+(5-E49)+(F49-1)+(5-G49)+(H49-1)+(5-I49)+(J49-1)+(5-K49))</f>
        <v>77.5</v>
      </c>
    </row>
    <row r="50" customFormat="false" ht="15" hidden="false" customHeight="false" outlineLevel="0" collapsed="false">
      <c r="A50" s="29" t="s">
        <v>518</v>
      </c>
      <c r="B50" s="23" t="n">
        <v>3</v>
      </c>
      <c r="C50" s="23" t="n">
        <v>3</v>
      </c>
      <c r="D50" s="23" t="n">
        <v>4</v>
      </c>
      <c r="E50" s="23" t="n">
        <v>2</v>
      </c>
      <c r="F50" s="23" t="n">
        <v>4</v>
      </c>
      <c r="G50" s="23" t="n">
        <v>2</v>
      </c>
      <c r="H50" s="23" t="n">
        <v>4</v>
      </c>
      <c r="I50" s="23" t="n">
        <v>2</v>
      </c>
      <c r="J50" s="23" t="n">
        <v>4</v>
      </c>
      <c r="K50" s="23" t="n">
        <v>2</v>
      </c>
      <c r="L50" s="30" t="n">
        <f aca="false">2.5*((B50-1)+(5-C50)+(D50-1)+(5-E50)+(F50-1)+(5-G50)+(H50-1)+(5-I50)+(J50-1)+(5-K50))</f>
        <v>70</v>
      </c>
    </row>
    <row r="51" customFormat="false" ht="15" hidden="false" customHeight="false" outlineLevel="0" collapsed="false">
      <c r="A51" s="29" t="s">
        <v>522</v>
      </c>
      <c r="B51" s="23" t="n">
        <v>5</v>
      </c>
      <c r="C51" s="23" t="n">
        <v>1</v>
      </c>
      <c r="D51" s="23" t="n">
        <v>5</v>
      </c>
      <c r="E51" s="23" t="n">
        <v>1</v>
      </c>
      <c r="F51" s="23" t="n">
        <v>5</v>
      </c>
      <c r="G51" s="23" t="n">
        <v>2</v>
      </c>
      <c r="H51" s="23" t="n">
        <v>4</v>
      </c>
      <c r="I51" s="23" t="n">
        <v>2</v>
      </c>
      <c r="J51" s="23" t="n">
        <v>4</v>
      </c>
      <c r="K51" s="23" t="n">
        <v>2</v>
      </c>
      <c r="L51" s="30" t="n">
        <f aca="false">2.5*((B51-1)+(5-C51)+(D51-1)+(5-E51)+(F51-1)+(5-G51)+(H51-1)+(5-I51)+(J51-1)+(5-K51))</f>
        <v>87.5</v>
      </c>
    </row>
    <row r="52" customFormat="false" ht="15" hidden="false" customHeight="false" outlineLevel="0" collapsed="false">
      <c r="A52" s="29" t="s">
        <v>525</v>
      </c>
      <c r="B52" s="23" t="n">
        <v>5</v>
      </c>
      <c r="C52" s="23" t="n">
        <v>1</v>
      </c>
      <c r="D52" s="23" t="n">
        <v>4</v>
      </c>
      <c r="E52" s="23" t="n">
        <v>2</v>
      </c>
      <c r="F52" s="23" t="n">
        <v>4</v>
      </c>
      <c r="G52" s="23" t="n">
        <v>2</v>
      </c>
      <c r="H52" s="23" t="n">
        <v>4</v>
      </c>
      <c r="I52" s="23" t="n">
        <v>2</v>
      </c>
      <c r="J52" s="23" t="n">
        <v>4</v>
      </c>
      <c r="K52" s="23" t="n">
        <v>2</v>
      </c>
      <c r="L52" s="30" t="n">
        <f aca="false">2.5*((B52-1)+(5-C52)+(D52-1)+(5-E52)+(F52-1)+(5-G52)+(H52-1)+(5-I52)+(J52-1)+(5-K52))</f>
        <v>80</v>
      </c>
    </row>
    <row r="53" customFormat="false" ht="15" hidden="false" customHeight="false" outlineLevel="0" collapsed="false">
      <c r="A53" s="29" t="s">
        <v>530</v>
      </c>
      <c r="B53" s="23" t="n">
        <v>5</v>
      </c>
      <c r="C53" s="23" t="n">
        <v>1</v>
      </c>
      <c r="D53" s="23" t="n">
        <v>5</v>
      </c>
      <c r="E53" s="23" t="n">
        <v>1</v>
      </c>
      <c r="F53" s="23" t="n">
        <v>5</v>
      </c>
      <c r="G53" s="23" t="n">
        <v>1</v>
      </c>
      <c r="H53" s="23" t="n">
        <v>4</v>
      </c>
      <c r="I53" s="23" t="n">
        <v>2</v>
      </c>
      <c r="J53" s="23" t="n">
        <v>4</v>
      </c>
      <c r="K53" s="23" t="n">
        <v>2</v>
      </c>
      <c r="L53" s="30" t="n">
        <f aca="false">2.5*((B53-1)+(5-C53)+(D53-1)+(5-E53)+(F53-1)+(5-G53)+(H53-1)+(5-I53)+(J53-1)+(5-K53))</f>
        <v>90</v>
      </c>
    </row>
    <row r="54" customFormat="false" ht="15" hidden="false" customHeight="false" outlineLevel="0" collapsed="false">
      <c r="A54" s="29" t="s">
        <v>534</v>
      </c>
      <c r="B54" s="23" t="n">
        <v>3</v>
      </c>
      <c r="C54" s="23" t="n">
        <v>3</v>
      </c>
      <c r="D54" s="23" t="n">
        <v>3</v>
      </c>
      <c r="E54" s="23" t="n">
        <v>2</v>
      </c>
      <c r="F54" s="23" t="n">
        <v>4</v>
      </c>
      <c r="G54" s="23" t="n">
        <v>2</v>
      </c>
      <c r="H54" s="23" t="n">
        <v>4</v>
      </c>
      <c r="I54" s="23" t="n">
        <v>2</v>
      </c>
      <c r="J54" s="23" t="n">
        <v>4</v>
      </c>
      <c r="K54" s="23" t="n">
        <v>2</v>
      </c>
      <c r="L54" s="30" t="n">
        <f aca="false">2.5*((B54-1)+(5-C54)+(D54-1)+(5-E54)+(F54-1)+(5-G54)+(H54-1)+(5-I54)+(J54-1)+(5-K54))</f>
        <v>67.5</v>
      </c>
    </row>
    <row r="55" customFormat="false" ht="15" hidden="false" customHeight="false" outlineLevel="0" collapsed="false">
      <c r="A55" s="2" t="s">
        <v>567</v>
      </c>
      <c r="L55" s="31" t="n">
        <f aca="false">AVERAGE(L49:L54)</f>
        <v>78.75</v>
      </c>
    </row>
    <row r="56" customFormat="false" ht="15" hidden="false" customHeight="false" outlineLevel="0" collapsed="false">
      <c r="A56" s="2" t="s">
        <v>568</v>
      </c>
      <c r="L56" s="2" t="n">
        <f aca="false">'Línea base APF2 (EJEMPLO)'!B8</f>
        <v>61.5</v>
      </c>
    </row>
    <row r="57" customFormat="false" ht="15" hidden="false" customHeight="false" outlineLevel="0" collapsed="false">
      <c r="A57" s="2" t="s">
        <v>569</v>
      </c>
      <c r="L57" s="32" t="n">
        <f aca="false">L55-L56</f>
        <v>17.25</v>
      </c>
    </row>
    <row r="58" customFormat="false" ht="15" hidden="false" customHeight="false" outlineLevel="0" collapsed="false">
      <c r="A58" s="2" t="s">
        <v>570</v>
      </c>
      <c r="L58" s="2" t="str">
        <f aca="false">IF(L55&gt;=68,"Se cumple","No se cumple")</f>
        <v>Se cumple</v>
      </c>
    </row>
  </sheetData>
  <dataValidations count="1">
    <dataValidation allowBlank="false" errorStyle="stop" operator="between" showDropDown="false" showErrorMessage="false" showInputMessage="false" sqref="C14:C37" type="list">
      <formula1>"S,P,N"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60"/>
  </cols>
  <sheetData>
    <row r="1" customFormat="false" ht="16.15" hidden="false" customHeight="false" outlineLevel="0" collapsed="false">
      <c r="A1" s="5" t="s">
        <v>571</v>
      </c>
    </row>
    <row r="4" customFormat="false" ht="23.85" hidden="false" customHeight="false" outlineLevel="0" collapsed="false">
      <c r="A4" s="7" t="s">
        <v>350</v>
      </c>
      <c r="B4" s="7" t="s">
        <v>507</v>
      </c>
      <c r="C4" s="7" t="s">
        <v>497</v>
      </c>
      <c r="D4" s="7" t="s">
        <v>572</v>
      </c>
      <c r="E4" s="7" t="s">
        <v>27</v>
      </c>
      <c r="F4" s="7" t="s">
        <v>573</v>
      </c>
      <c r="G4" s="7" t="s">
        <v>574</v>
      </c>
    </row>
    <row r="5" customFormat="false" ht="22.35" hidden="false" customHeight="false" outlineLevel="0" collapsed="false">
      <c r="A5" s="17" t="s">
        <v>575</v>
      </c>
      <c r="B5" s="17" t="s">
        <v>518</v>
      </c>
      <c r="C5" s="17" t="s">
        <v>544</v>
      </c>
      <c r="D5" s="17" t="s">
        <v>576</v>
      </c>
      <c r="E5" s="17" t="s">
        <v>577</v>
      </c>
      <c r="F5" s="17" t="n">
        <v>2</v>
      </c>
      <c r="G5" s="17" t="s">
        <v>578</v>
      </c>
    </row>
    <row r="6" customFormat="false" ht="22.35" hidden="false" customHeight="false" outlineLevel="0" collapsed="false">
      <c r="A6" s="17" t="s">
        <v>579</v>
      </c>
      <c r="B6" s="17" t="s">
        <v>534</v>
      </c>
      <c r="C6" s="17" t="s">
        <v>501</v>
      </c>
      <c r="D6" s="17" t="s">
        <v>580</v>
      </c>
      <c r="E6" s="17" t="s">
        <v>581</v>
      </c>
      <c r="F6" s="17" t="n">
        <v>2</v>
      </c>
      <c r="G6" s="17" t="s">
        <v>582</v>
      </c>
    </row>
    <row r="7" customFormat="false" ht="15" hidden="false" customHeight="false" outlineLevel="0" collapsed="false">
      <c r="A7" s="17" t="s">
        <v>583</v>
      </c>
      <c r="B7" s="17" t="s">
        <v>530</v>
      </c>
      <c r="C7" s="17" t="s">
        <v>58</v>
      </c>
      <c r="D7" s="17" t="s">
        <v>584</v>
      </c>
      <c r="E7" s="17" t="s">
        <v>66</v>
      </c>
      <c r="F7" s="17" t="n">
        <v>2</v>
      </c>
      <c r="G7" s="17" t="s">
        <v>585</v>
      </c>
    </row>
    <row r="8" customFormat="false" ht="22.35" hidden="false" customHeight="false" outlineLevel="0" collapsed="false">
      <c r="A8" s="17" t="s">
        <v>586</v>
      </c>
      <c r="B8" s="17" t="s">
        <v>518</v>
      </c>
      <c r="C8" s="17" t="s">
        <v>503</v>
      </c>
      <c r="D8" s="17" t="s">
        <v>587</v>
      </c>
      <c r="E8" s="17" t="s">
        <v>300</v>
      </c>
      <c r="F8" s="17" t="n">
        <v>1</v>
      </c>
      <c r="G8" s="17" t="s">
        <v>588</v>
      </c>
    </row>
    <row r="9" customFormat="false" ht="22.35" hidden="false" customHeight="false" outlineLevel="0" collapsed="false">
      <c r="A9" s="17" t="s">
        <v>589</v>
      </c>
      <c r="B9" s="17" t="s">
        <v>513</v>
      </c>
      <c r="C9" s="17" t="s">
        <v>502</v>
      </c>
      <c r="D9" s="17" t="s">
        <v>590</v>
      </c>
      <c r="E9" s="17" t="s">
        <v>151</v>
      </c>
      <c r="F9" s="17" t="n">
        <v>1</v>
      </c>
      <c r="G9" s="17" t="s">
        <v>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2026-10-31T04:27:40Z</dcterms:created>
  <dc:creator>openpyxl</dc:creator>
  <dc:description/>
  <dc:language>en-US</dc:language>
  <cp:lastModifiedBy/>
  <dcterms:modified xsi:type="dcterms:W3CDTF">2026-10-31T04:27:40Z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